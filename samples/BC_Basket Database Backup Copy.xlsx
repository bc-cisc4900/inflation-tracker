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-Month Breakdown" sheetId="1" r:id="rId5"/>
    <sheet state="visible" name="week1" sheetId="2" r:id="rId6"/>
    <sheet state="visible" name="week2" sheetId="3" r:id="rId7"/>
    <sheet state="visible" name="week3" sheetId="4" r:id="rId8"/>
    <sheet state="visible" name="week4" sheetId="5" r:id="rId9"/>
    <sheet state="visible" name="week5" sheetId="6" r:id="rId10"/>
    <sheet state="visible" name="week6" sheetId="7" r:id="rId11"/>
    <sheet state="visible" name="week7" sheetId="8" r:id="rId12"/>
    <sheet state="visible" name="week8" sheetId="9" r:id="rId13"/>
    <sheet state="visible" name="week9" sheetId="10" r:id="rId14"/>
    <sheet state="visible" name="week10" sheetId="11" r:id="rId15"/>
    <sheet state="visible" name="week11" sheetId="12" r:id="rId16"/>
    <sheet state="visible" name="week12" sheetId="13" r:id="rId17"/>
    <sheet state="visible" name="week13" sheetId="14" r:id="rId18"/>
    <sheet state="visible" name="week14" sheetId="15" r:id="rId19"/>
    <sheet state="visible" name="Inflation Summary" sheetId="16" r:id="rId20"/>
    <sheet state="visible" name="14-Week Breakdown" sheetId="17" r:id="rId21"/>
  </sheets>
  <definedNames/>
  <calcPr/>
</workbook>
</file>

<file path=xl/sharedStrings.xml><?xml version="1.0" encoding="utf-8"?>
<sst xmlns="http://schemas.openxmlformats.org/spreadsheetml/2006/main" count="1596" uniqueCount="103">
  <si>
    <t>Item</t>
  </si>
  <si>
    <t>Category</t>
  </si>
  <si>
    <t>Month 12</t>
  </si>
  <si>
    <t>Month 11</t>
  </si>
  <si>
    <t>Month 10</t>
  </si>
  <si>
    <t>Month 9</t>
  </si>
  <si>
    <t>Month 8</t>
  </si>
  <si>
    <t>Month 7</t>
  </si>
  <si>
    <t>Month 6</t>
  </si>
  <si>
    <t>Month 5</t>
  </si>
  <si>
    <t>Month 4</t>
  </si>
  <si>
    <t>Month 3</t>
  </si>
  <si>
    <t>Month 2</t>
  </si>
  <si>
    <t>Month 1</t>
  </si>
  <si>
    <t>Annual Avg.</t>
  </si>
  <si>
    <t>Month 1 vs Latest Month % Change</t>
  </si>
  <si>
    <t>20 oz Organic White Bread</t>
  </si>
  <si>
    <t>Bakery / Grains</t>
  </si>
  <si>
    <t>-</t>
  </si>
  <si>
    <t>Gold Medal All-Purpose Flour (2 lb)</t>
  </si>
  <si>
    <t>Baking &amp; Cooking Essentials</t>
  </si>
  <si>
    <t>Morton’s Salt (24 oz)</t>
  </si>
  <si>
    <t>Granulated White Sugar (4 lb)</t>
  </si>
  <si>
    <t>Folgers Classic Roast Coffee (12 oz, Medium Roast)</t>
  </si>
  <si>
    <t>Beverages</t>
  </si>
  <si>
    <t>Coca-Cola (1 can)</t>
  </si>
  <si>
    <t>Tropicana Orange Juice No Pulp (46 oz)</t>
  </si>
  <si>
    <t>Campbell’s Chicken Soup (10.5 oz, 1 can)</t>
  </si>
  <si>
    <t>Canned &amp; Shelf Stable Foods</t>
  </si>
  <si>
    <t>Ragu Tomato Pasta Sauce (24 oz)</t>
  </si>
  <si>
    <t>Canola Oil (24 oz)</t>
  </si>
  <si>
    <t>Bush’s Baked Beans (15 oz)</t>
  </si>
  <si>
    <t>Organic Whole Milk (1 gallon)</t>
  </si>
  <si>
    <t>Dairy</t>
  </si>
  <si>
    <t>Grade A Organic White Eggs (1 dozen)</t>
  </si>
  <si>
    <t>Land O’ Lakes Unsalted Butter (1 lb)</t>
  </si>
  <si>
    <t>Kraft Cheddar Cheese (8 oz, any cheddar)</t>
  </si>
  <si>
    <t>Chobani Original Yogurt (6.7 oz, single)</t>
  </si>
  <si>
    <t>Eggo Waffles (12 ct)</t>
  </si>
  <si>
    <t>Frozen Foods</t>
  </si>
  <si>
    <t>Gala Apples (1 lb)</t>
  </si>
  <si>
    <t>Fruits</t>
  </si>
  <si>
    <t>Regular Yellow Bananas (1 lb)</t>
  </si>
  <si>
    <t>Navel Oranges (1 lb)</t>
  </si>
  <si>
    <t>Store-Brand White Rice (2 lb)</t>
  </si>
  <si>
    <t>Grains &amp; Dried Goods</t>
  </si>
  <si>
    <t>Barilla Spaghetti Pasta (16 oz)</t>
  </si>
  <si>
    <t>Kellogg’s Frosted Flakes</t>
  </si>
  <si>
    <t>Ground Chicken (1 lb, 80% lean)</t>
  </si>
  <si>
    <t>Meat &amp; Protein</t>
  </si>
  <si>
    <t>Ground Beef (1 lb, 80% lean)</t>
  </si>
  <si>
    <t>Bumble Bee Canned Tuna (5 oz, 1 can)</t>
  </si>
  <si>
    <t>Seafood</t>
  </si>
  <si>
    <t>Big Beef Tomatoes (1 lb)</t>
  </si>
  <si>
    <t>Vegtables</t>
  </si>
  <si>
    <t>Russet Potatoes (1 lb)</t>
  </si>
  <si>
    <t>Yellow Onions (1 lb)</t>
  </si>
  <si>
    <t>Fresh Garlic (8 oz)</t>
  </si>
  <si>
    <t>Whole Carrots (1 lb)</t>
  </si>
  <si>
    <t>Organic Chicken Breast (1 lb)</t>
  </si>
  <si>
    <t>Distilled White Vinegar (32 oz)</t>
  </si>
  <si>
    <t xml:space="preserve"> Item</t>
  </si>
  <si>
    <t>Aldi</t>
  </si>
  <si>
    <t>Key Food</t>
  </si>
  <si>
    <t>Stop &amp; Shop</t>
  </si>
  <si>
    <t>Trader Joe's</t>
  </si>
  <si>
    <t>Store Avg.</t>
  </si>
  <si>
    <t>National Avg.</t>
  </si>
  <si>
    <t>Fresh Direct</t>
  </si>
  <si>
    <t>Week 1 Averages</t>
  </si>
  <si>
    <t>Week 2 Averages</t>
  </si>
  <si>
    <t>Week 3 Averages</t>
  </si>
  <si>
    <t>Week 4 Averages</t>
  </si>
  <si>
    <t>Week 5 Averages</t>
  </si>
  <si>
    <t>Week 6 Averages</t>
  </si>
  <si>
    <t>Week 7 Averages</t>
  </si>
  <si>
    <t>Week 8 Averages</t>
  </si>
  <si>
    <t>Week 9 Averages</t>
  </si>
  <si>
    <t>Week 10 Averages</t>
  </si>
  <si>
    <t>Week 11 Averages</t>
  </si>
  <si>
    <t>Week 12 Averages</t>
  </si>
  <si>
    <t>Week 13 Averages</t>
  </si>
  <si>
    <t>Week 14 Averages</t>
  </si>
  <si>
    <t>Data Status</t>
  </si>
  <si>
    <t>Week 1 Average</t>
  </si>
  <si>
    <t>Week 2 Average</t>
  </si>
  <si>
    <t>Week 3 Average</t>
  </si>
  <si>
    <t>Week 4 Average</t>
  </si>
  <si>
    <t>Week 5 Average</t>
  </si>
  <si>
    <t>Week 6 Average</t>
  </si>
  <si>
    <t>Week 7 Average</t>
  </si>
  <si>
    <t>Week 8 Average</t>
  </si>
  <si>
    <t>Week 9 Average</t>
  </si>
  <si>
    <t>Week 10 Average</t>
  </si>
  <si>
    <t>Week 11 Average</t>
  </si>
  <si>
    <t>Week 12 Average</t>
  </si>
  <si>
    <t>Week 13 Average</t>
  </si>
  <si>
    <t>Week 14 Average</t>
  </si>
  <si>
    <t>Average of 14 Weeks</t>
  </si>
  <si>
    <t>First Week</t>
  </si>
  <si>
    <t>Latest Week</t>
  </si>
  <si>
    <t>% Change</t>
  </si>
  <si>
    <t>Complete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</si>
</sst>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$0.00"/>
  </numFmts>
  <fonts count="8">
    <font>
      <sz val="10.0"/>
      <color rgb="FF000000"/>
      <name val="Arial"/>
      <scheme val="minor"/>
    </font>
    <font>
      <color theme="1"/>
      <name val="Arial"/>
    </font>
    <font>
      <b/>
      <color rgb="FFF3F3F3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10" xfId="0" applyAlignment="1" applyFont="1" applyNumberFormat="1">
      <alignment horizontal="right" shrinkToFit="0" vertical="bottom" wrapText="1"/>
    </xf>
    <xf borderId="0" fillId="2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readingOrder="0" shrinkToFit="0" wrapText="0"/>
    </xf>
    <xf borderId="0" fillId="0" fontId="3" numFmtId="164" xfId="0" applyAlignment="1" applyFont="1" applyNumberFormat="1">
      <alignment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wrapText="0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readingOrder="0" shrinkToFit="0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right"/>
    </xf>
    <xf borderId="0" fillId="0" fontId="3" numFmtId="164" xfId="0" applyAlignment="1" applyFont="1" applyNumberForma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6" numFmtId="0" xfId="0" applyAlignment="1" applyFill="1" applyFont="1">
      <alignment horizontal="center" shrinkToFit="0" wrapText="1"/>
    </xf>
    <xf borderId="0" fillId="0" fontId="7" numFmtId="0" xfId="0" applyAlignment="1" applyFont="1">
      <alignment shrinkToFit="0" vertical="bottom" wrapText="1"/>
    </xf>
    <xf borderId="0" fillId="4" fontId="7" numFmtId="0" xfId="0" applyAlignment="1" applyFill="1" applyFont="1">
      <alignment shrinkToFit="0" wrapText="1"/>
    </xf>
    <xf borderId="0" fillId="4" fontId="7" numFmtId="166" xfId="0" applyAlignment="1" applyFont="1" applyNumberFormat="1">
      <alignment horizontal="right" shrinkToFit="0" wrapText="1"/>
    </xf>
    <xf borderId="0" fillId="4" fontId="7" numFmtId="10" xfId="0" applyAlignment="1" applyFont="1" applyNumberFormat="1">
      <alignment horizontal="right" shrinkToFit="0" wrapText="1"/>
    </xf>
    <xf borderId="0" fillId="5" fontId="7" numFmtId="0" xfId="0" applyAlignment="1" applyFill="1" applyFont="1">
      <alignment shrinkToFit="0" wrapText="1"/>
    </xf>
    <xf borderId="0" fillId="5" fontId="7" numFmtId="166" xfId="0" applyAlignment="1" applyFont="1" applyNumberFormat="1">
      <alignment horizontal="right" shrinkToFit="0" wrapText="1"/>
    </xf>
    <xf borderId="0" fillId="5" fontId="7" numFmtId="10" xfId="0" applyAlignment="1" applyFont="1" applyNumberFormat="1">
      <alignment horizontal="right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14-Week Breakdow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4" displayName="Table_1" name="Table_1" id="1">
  <tableColumns count="21">
    <tableColumn name="Item" id="1"/>
    <tableColumn name="Category" id="2"/>
    <tableColumn name="Data Status" id="3"/>
    <tableColumn name="Week 1 Average" id="4"/>
    <tableColumn name="Week 2 Average" id="5"/>
    <tableColumn name="Week 3 Average" id="6"/>
    <tableColumn name="Week 4 Average" id="7"/>
    <tableColumn name="Week 5 Average" id="8"/>
    <tableColumn name="Week 6 Average" id="9"/>
    <tableColumn name="Week 7 Average" id="10"/>
    <tableColumn name="Week 8 Average" id="11"/>
    <tableColumn name="Week 9 Average" id="12"/>
    <tableColumn name="Week 10 Average" id="13"/>
    <tableColumn name="Week 11 Average" id="14"/>
    <tableColumn name="Week 12 Average" id="15"/>
    <tableColumn name="Week 13 Average" id="16"/>
    <tableColumn name="Week 14 Average" id="17"/>
    <tableColumn name="Average of 14 Weeks" id="18"/>
    <tableColumn name="First Week" id="19"/>
    <tableColumn name="Latest Week" id="20"/>
    <tableColumn name="% Change" id="21"/>
  </tableColumns>
  <tableStyleInfo name="14-Week Breakdow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16</v>
      </c>
      <c r="B2" s="1" t="s">
        <v>17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18</v>
      </c>
      <c r="H2" s="1" t="s">
        <v>18</v>
      </c>
      <c r="I2" s="1" t="s">
        <v>18</v>
      </c>
      <c r="J2" s="1" t="s">
        <v>18</v>
      </c>
      <c r="K2" s="2">
        <v>4.72</v>
      </c>
      <c r="L2" s="2">
        <v>4.59</v>
      </c>
      <c r="M2" s="2">
        <v>4.65</v>
      </c>
      <c r="N2" s="2">
        <v>3.27</v>
      </c>
      <c r="O2" s="2">
        <v>4.31</v>
      </c>
      <c r="P2" s="3">
        <v>0.4418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19</v>
      </c>
      <c r="B3" s="1" t="s">
        <v>20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2">
        <v>3.43</v>
      </c>
      <c r="L3" s="2">
        <v>3.46</v>
      </c>
      <c r="M3" s="2">
        <v>3.34</v>
      </c>
      <c r="N3" s="2">
        <v>2.94</v>
      </c>
      <c r="O3" s="2">
        <v>3.29</v>
      </c>
      <c r="P3" s="3">
        <v>0.1687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21</v>
      </c>
      <c r="B4" s="1" t="s">
        <v>20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2">
        <v>2.42</v>
      </c>
      <c r="L4" s="2">
        <v>2.29</v>
      </c>
      <c r="M4" s="2">
        <v>2.33</v>
      </c>
      <c r="N4" s="2">
        <v>1.57</v>
      </c>
      <c r="O4" s="2">
        <v>2.15</v>
      </c>
      <c r="P4" s="3">
        <v>0.5397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22</v>
      </c>
      <c r="B5" s="1" t="s">
        <v>20</v>
      </c>
      <c r="C5" s="1" t="s">
        <v>18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</v>
      </c>
      <c r="K5" s="2">
        <v>4.45</v>
      </c>
      <c r="L5" s="2">
        <v>4.44</v>
      </c>
      <c r="M5" s="2">
        <v>4.78</v>
      </c>
      <c r="N5" s="2">
        <v>4.41</v>
      </c>
      <c r="O5" s="2">
        <v>4.52</v>
      </c>
      <c r="P5" s="3">
        <v>0.0094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23</v>
      </c>
      <c r="B6" s="1" t="s">
        <v>24</v>
      </c>
      <c r="C6" s="1" t="s">
        <v>18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18</v>
      </c>
      <c r="K6" s="2">
        <v>10.99</v>
      </c>
      <c r="L6" s="2">
        <v>7.39</v>
      </c>
      <c r="M6" s="2">
        <v>8.25</v>
      </c>
      <c r="N6" s="2">
        <v>7.91</v>
      </c>
      <c r="O6" s="2">
        <v>8.64</v>
      </c>
      <c r="P6" s="3">
        <v>0.3892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25</v>
      </c>
      <c r="B7" s="1" t="s">
        <v>24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2">
        <v>1.5</v>
      </c>
      <c r="L7" s="2">
        <v>1.64</v>
      </c>
      <c r="M7" s="2">
        <v>1.74</v>
      </c>
      <c r="N7" s="2">
        <v>2.49</v>
      </c>
      <c r="O7" s="2">
        <v>1.84</v>
      </c>
      <c r="P7" s="3">
        <v>-0.3966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26</v>
      </c>
      <c r="B8" s="1" t="s">
        <v>24</v>
      </c>
      <c r="C8" s="1" t="s">
        <v>18</v>
      </c>
      <c r="D8" s="1" t="s">
        <v>18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2">
        <v>4.91</v>
      </c>
      <c r="L8" s="2">
        <v>4.74</v>
      </c>
      <c r="M8" s="2">
        <v>4.34</v>
      </c>
      <c r="N8" s="2">
        <v>4.65</v>
      </c>
      <c r="O8" s="2">
        <v>4.66</v>
      </c>
      <c r="P8" s="3">
        <v>0.0565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27</v>
      </c>
      <c r="B9" s="1" t="s">
        <v>28</v>
      </c>
      <c r="C9" s="1" t="s">
        <v>18</v>
      </c>
      <c r="D9" s="1" t="s">
        <v>18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2">
        <v>2.85</v>
      </c>
      <c r="L9" s="2">
        <v>2.63</v>
      </c>
      <c r="M9" s="2">
        <v>2.44</v>
      </c>
      <c r="N9" s="2">
        <v>2.84</v>
      </c>
      <c r="O9" s="2">
        <v>2.69</v>
      </c>
      <c r="P9" s="3">
        <v>0.0037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29</v>
      </c>
      <c r="B10" s="1" t="s">
        <v>28</v>
      </c>
      <c r="C10" s="1" t="s">
        <v>18</v>
      </c>
      <c r="D10" s="1" t="s">
        <v>18</v>
      </c>
      <c r="E10" s="1" t="s">
        <v>18</v>
      </c>
      <c r="F10" s="1" t="s">
        <v>18</v>
      </c>
      <c r="G10" s="1" t="s">
        <v>18</v>
      </c>
      <c r="H10" s="1" t="s">
        <v>18</v>
      </c>
      <c r="I10" s="1" t="s">
        <v>18</v>
      </c>
      <c r="J10" s="1" t="s">
        <v>18</v>
      </c>
      <c r="K10" s="2">
        <v>3.47</v>
      </c>
      <c r="L10" s="2">
        <v>3.64</v>
      </c>
      <c r="M10" s="2">
        <v>3.84</v>
      </c>
      <c r="N10" s="2">
        <v>3.29</v>
      </c>
      <c r="O10" s="2">
        <v>3.56</v>
      </c>
      <c r="P10" s="3">
        <v>0.0543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30</v>
      </c>
      <c r="B11" s="1" t="s">
        <v>28</v>
      </c>
      <c r="C11" s="1" t="s">
        <v>18</v>
      </c>
      <c r="D11" s="1" t="s">
        <v>18</v>
      </c>
      <c r="E11" s="1" t="s">
        <v>18</v>
      </c>
      <c r="F11" s="1" t="s">
        <v>18</v>
      </c>
      <c r="G11" s="1" t="s">
        <v>18</v>
      </c>
      <c r="H11" s="1" t="s">
        <v>18</v>
      </c>
      <c r="I11" s="1" t="s">
        <v>18</v>
      </c>
      <c r="J11" s="1" t="s">
        <v>18</v>
      </c>
      <c r="K11" s="2">
        <v>5.84</v>
      </c>
      <c r="L11" s="2">
        <v>5.66</v>
      </c>
      <c r="M11" s="2">
        <v>5.95</v>
      </c>
      <c r="N11" s="2">
        <v>8.34</v>
      </c>
      <c r="O11" s="2">
        <v>6.45</v>
      </c>
      <c r="P11" s="3">
        <v>-0.3001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31</v>
      </c>
      <c r="B12" s="1" t="s">
        <v>28</v>
      </c>
      <c r="C12" s="1" t="s">
        <v>18</v>
      </c>
      <c r="D12" s="1" t="s">
        <v>18</v>
      </c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2">
        <v>2.3</v>
      </c>
      <c r="L12" s="2">
        <v>2.07</v>
      </c>
      <c r="M12" s="2">
        <v>2.2</v>
      </c>
      <c r="N12" s="2">
        <v>2.22</v>
      </c>
      <c r="O12" s="2">
        <v>2.2</v>
      </c>
      <c r="P12" s="3">
        <v>0.0349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32</v>
      </c>
      <c r="B13" s="1" t="s">
        <v>33</v>
      </c>
      <c r="C13" s="1" t="s">
        <v>18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2">
        <v>9.96</v>
      </c>
      <c r="L13" s="2">
        <v>9.76</v>
      </c>
      <c r="M13" s="2">
        <v>7.93</v>
      </c>
      <c r="N13" s="2">
        <v>4.67</v>
      </c>
      <c r="O13" s="2">
        <v>8.08</v>
      </c>
      <c r="P13" s="3">
        <v>1.1326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34</v>
      </c>
      <c r="B14" s="1" t="s">
        <v>33</v>
      </c>
      <c r="C14" s="1" t="s">
        <v>18</v>
      </c>
      <c r="D14" s="1" t="s">
        <v>18</v>
      </c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2">
        <v>5.66</v>
      </c>
      <c r="L14" s="2">
        <v>4.62</v>
      </c>
      <c r="M14" s="2">
        <v>4.75</v>
      </c>
      <c r="N14" s="2">
        <v>3.47</v>
      </c>
      <c r="O14" s="2">
        <v>4.63</v>
      </c>
      <c r="P14" s="3">
        <v>0.6285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35</v>
      </c>
      <c r="B15" s="1" t="s">
        <v>33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2">
        <v>5.24</v>
      </c>
      <c r="L15" s="2">
        <v>5.16</v>
      </c>
      <c r="M15" s="2">
        <v>4.83</v>
      </c>
      <c r="N15" s="2">
        <v>5.15</v>
      </c>
      <c r="O15" s="2">
        <v>5.1</v>
      </c>
      <c r="P15" s="3">
        <v>0.0181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36</v>
      </c>
      <c r="B16" s="1" t="s">
        <v>33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2">
        <v>4.05</v>
      </c>
      <c r="L16" s="2">
        <v>4.16</v>
      </c>
      <c r="M16" s="2">
        <v>4.2</v>
      </c>
      <c r="N16" s="2">
        <v>4.15</v>
      </c>
      <c r="O16" s="2">
        <v>4.14</v>
      </c>
      <c r="P16" s="3">
        <v>-0.0242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37</v>
      </c>
      <c r="B17" s="1" t="s">
        <v>33</v>
      </c>
      <c r="C17" s="1" t="s">
        <v>18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2">
        <v>2.35</v>
      </c>
      <c r="L17" s="2">
        <v>1.62</v>
      </c>
      <c r="M17" s="2">
        <v>1.67</v>
      </c>
      <c r="N17" s="2">
        <v>1.88</v>
      </c>
      <c r="O17" s="2">
        <v>1.88</v>
      </c>
      <c r="P17" s="3">
        <v>0.2526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38</v>
      </c>
      <c r="B18" s="1" t="s">
        <v>39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2">
        <v>3.57</v>
      </c>
      <c r="L18" s="2">
        <v>3.86</v>
      </c>
      <c r="M18" s="2">
        <v>4.08</v>
      </c>
      <c r="N18" s="2">
        <v>4.12</v>
      </c>
      <c r="O18" s="2">
        <v>3.91</v>
      </c>
      <c r="P18" s="3">
        <v>-0.1329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40</v>
      </c>
      <c r="B19" s="1" t="s">
        <v>41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2">
        <v>2.58</v>
      </c>
      <c r="L19" s="2">
        <v>2.55</v>
      </c>
      <c r="M19" s="2">
        <v>2.48</v>
      </c>
      <c r="N19" s="2">
        <v>2.95</v>
      </c>
      <c r="O19" s="2">
        <v>2.64</v>
      </c>
      <c r="P19" s="3">
        <v>-0.1247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42</v>
      </c>
      <c r="B20" s="1" t="s">
        <v>41</v>
      </c>
      <c r="C20" s="1" t="s">
        <v>18</v>
      </c>
      <c r="D20" s="1" t="s">
        <v>18</v>
      </c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2">
        <v>0.67</v>
      </c>
      <c r="L20" s="2">
        <v>0.82</v>
      </c>
      <c r="M20" s="2">
        <v>1.16</v>
      </c>
      <c r="N20" s="2">
        <v>0.92</v>
      </c>
      <c r="O20" s="2">
        <v>0.89</v>
      </c>
      <c r="P20" s="3">
        <v>-0.2774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43</v>
      </c>
      <c r="B21" s="1" t="s">
        <v>41</v>
      </c>
      <c r="C21" s="1" t="s">
        <v>18</v>
      </c>
      <c r="D21" s="1" t="s">
        <v>18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2">
        <v>2.87</v>
      </c>
      <c r="L21" s="2">
        <v>2.69</v>
      </c>
      <c r="M21" s="2">
        <v>2.46</v>
      </c>
      <c r="N21" s="2">
        <v>1.73</v>
      </c>
      <c r="O21" s="2">
        <v>2.44</v>
      </c>
      <c r="P21" s="3">
        <v>0.6617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44</v>
      </c>
      <c r="B22" s="1" t="s">
        <v>45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2">
        <v>3.15</v>
      </c>
      <c r="L22" s="2">
        <v>3.86</v>
      </c>
      <c r="M22" s="2">
        <v>4.76</v>
      </c>
      <c r="N22" s="2">
        <v>2.63</v>
      </c>
      <c r="O22" s="2">
        <v>3.6</v>
      </c>
      <c r="P22" s="3">
        <v>0.1957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46</v>
      </c>
      <c r="B23" s="1" t="s">
        <v>45</v>
      </c>
      <c r="C23" s="1" t="s">
        <v>18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2">
        <v>1.9</v>
      </c>
      <c r="L23" s="2">
        <v>1.97</v>
      </c>
      <c r="M23" s="2">
        <v>1.99</v>
      </c>
      <c r="N23" s="2">
        <v>1.95</v>
      </c>
      <c r="O23" s="2">
        <v>1.95</v>
      </c>
      <c r="P23" s="3">
        <v>-0.0265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47</v>
      </c>
      <c r="B24" s="1" t="s">
        <v>45</v>
      </c>
      <c r="C24" s="1" t="s">
        <v>18</v>
      </c>
      <c r="D24" s="1" t="s">
        <v>18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2">
        <v>4.83</v>
      </c>
      <c r="L24" s="2">
        <v>4.92</v>
      </c>
      <c r="M24" s="2">
        <v>4.69</v>
      </c>
      <c r="N24" s="2">
        <v>3.9</v>
      </c>
      <c r="O24" s="2">
        <v>4.59</v>
      </c>
      <c r="P24" s="3">
        <v>0.2367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48</v>
      </c>
      <c r="B25" s="1" t="s">
        <v>49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2">
        <v>6.32</v>
      </c>
      <c r="L25" s="2">
        <v>6.55</v>
      </c>
      <c r="M25" s="2">
        <v>6.4</v>
      </c>
      <c r="N25" s="2">
        <v>5.76</v>
      </c>
      <c r="O25" s="2">
        <v>6.26</v>
      </c>
      <c r="P25" s="3">
        <v>0.0979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50</v>
      </c>
      <c r="B26" s="1" t="s">
        <v>49</v>
      </c>
      <c r="C26" s="1" t="s">
        <v>18</v>
      </c>
      <c r="D26" s="1" t="s">
        <v>18</v>
      </c>
      <c r="E26" s="1" t="s">
        <v>18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2">
        <v>8.01</v>
      </c>
      <c r="L26" s="2">
        <v>7.54</v>
      </c>
      <c r="M26" s="2">
        <v>8.0</v>
      </c>
      <c r="N26" s="2">
        <v>6.71</v>
      </c>
      <c r="O26" s="2">
        <v>7.57</v>
      </c>
      <c r="P26" s="3">
        <v>0.1933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51</v>
      </c>
      <c r="B27" s="1" t="s">
        <v>52</v>
      </c>
      <c r="C27" s="1" t="s">
        <v>18</v>
      </c>
      <c r="D27" s="1" t="s">
        <v>18</v>
      </c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2">
        <v>1.96</v>
      </c>
      <c r="L27" s="2">
        <v>2.07</v>
      </c>
      <c r="M27" s="2">
        <v>2.18</v>
      </c>
      <c r="N27" s="2">
        <v>2.59</v>
      </c>
      <c r="O27" s="2">
        <v>2.2</v>
      </c>
      <c r="P27" s="3">
        <v>-0.2427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53</v>
      </c>
      <c r="B28" s="1" t="s">
        <v>54</v>
      </c>
      <c r="C28" s="1" t="s">
        <v>18</v>
      </c>
      <c r="D28" s="1" t="s">
        <v>18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2">
        <v>3.05</v>
      </c>
      <c r="L28" s="2">
        <v>2.99</v>
      </c>
      <c r="M28" s="2">
        <v>3.05</v>
      </c>
      <c r="N28" s="2">
        <v>3.52</v>
      </c>
      <c r="O28" s="2">
        <v>3.15</v>
      </c>
      <c r="P28" s="3">
        <v>-0.1329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55</v>
      </c>
      <c r="B29" s="1" t="s">
        <v>54</v>
      </c>
      <c r="C29" s="1" t="s">
        <v>18</v>
      </c>
      <c r="D29" s="1" t="s">
        <v>18</v>
      </c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2">
        <v>1.69</v>
      </c>
      <c r="L29" s="2">
        <v>2.36</v>
      </c>
      <c r="M29" s="2">
        <v>1.76</v>
      </c>
      <c r="N29" s="2">
        <v>0.84</v>
      </c>
      <c r="O29" s="2">
        <v>1.66</v>
      </c>
      <c r="P29" s="3">
        <v>1.0137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56</v>
      </c>
      <c r="B30" s="1" t="s">
        <v>54</v>
      </c>
      <c r="C30" s="1" t="s">
        <v>18</v>
      </c>
      <c r="D30" s="1" t="s">
        <v>18</v>
      </c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2">
        <v>2.01</v>
      </c>
      <c r="L30" s="2">
        <v>2.19</v>
      </c>
      <c r="M30" s="2">
        <v>2.01</v>
      </c>
      <c r="N30" s="2">
        <v>1.79</v>
      </c>
      <c r="O30" s="2">
        <v>2.0</v>
      </c>
      <c r="P30" s="3">
        <v>0.123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57</v>
      </c>
      <c r="B31" s="1" t="s">
        <v>54</v>
      </c>
      <c r="C31" s="1" t="s">
        <v>18</v>
      </c>
      <c r="D31" s="1" t="s">
        <v>18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2">
        <v>4.89</v>
      </c>
      <c r="L31" s="2">
        <v>4.47</v>
      </c>
      <c r="M31" s="2">
        <v>4.29</v>
      </c>
      <c r="N31" s="2">
        <v>2.96</v>
      </c>
      <c r="O31" s="2">
        <v>4.15</v>
      </c>
      <c r="P31" s="3">
        <v>0.6524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58</v>
      </c>
      <c r="B32" s="1" t="s">
        <v>54</v>
      </c>
      <c r="C32" s="1" t="s">
        <v>18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2">
        <v>2.5</v>
      </c>
      <c r="L32" s="2">
        <v>2.25</v>
      </c>
      <c r="M32" s="2">
        <v>2.08</v>
      </c>
      <c r="N32" s="2">
        <v>1.62</v>
      </c>
      <c r="O32" s="2">
        <v>2.11</v>
      </c>
      <c r="P32" s="3">
        <v>0.5484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59</v>
      </c>
      <c r="B33" s="1" t="s">
        <v>49</v>
      </c>
      <c r="C33" s="1" t="s">
        <v>18</v>
      </c>
      <c r="D33" s="1" t="s">
        <v>18</v>
      </c>
      <c r="E33" s="1" t="s">
        <v>18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 s="2">
        <v>7.47</v>
      </c>
      <c r="L33" s="2">
        <v>8.2</v>
      </c>
      <c r="M33" s="2">
        <v>7.88</v>
      </c>
      <c r="N33" s="2">
        <v>6.17</v>
      </c>
      <c r="O33" s="2">
        <v>7.43</v>
      </c>
      <c r="P33" s="3">
        <v>0.2101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60</v>
      </c>
      <c r="B34" s="1" t="s">
        <v>20</v>
      </c>
      <c r="C34" s="1" t="s">
        <v>18</v>
      </c>
      <c r="D34" s="1" t="s">
        <v>18</v>
      </c>
      <c r="E34" s="1" t="s">
        <v>18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 s="2">
        <v>2.32</v>
      </c>
      <c r="L34" s="2">
        <v>3.46</v>
      </c>
      <c r="M34" s="2">
        <v>3.49</v>
      </c>
      <c r="N34" s="2">
        <v>2.32</v>
      </c>
      <c r="O34" s="2">
        <v>2.9</v>
      </c>
      <c r="P34" s="3">
        <v>0.0022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</cols>
  <sheetData>
    <row r="1" ht="21.75" customHeight="1">
      <c r="A1" s="4" t="s">
        <v>61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1.75" customHeight="1">
      <c r="A2" s="6" t="s">
        <v>16</v>
      </c>
      <c r="B2" s="6" t="s">
        <v>17</v>
      </c>
      <c r="C2" s="7">
        <v>2.78</v>
      </c>
      <c r="D2" s="7">
        <v>3.39</v>
      </c>
      <c r="E2" s="7">
        <v>2.5</v>
      </c>
      <c r="F2" s="7">
        <v>2.49</v>
      </c>
      <c r="G2" s="8">
        <f t="shared" ref="G2:G34" si="1">AVERAGE(C2:F2)
</f>
        <v>2.79</v>
      </c>
      <c r="H2" s="7">
        <v>1.83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1.75" customHeight="1">
      <c r="A3" s="6" t="s">
        <v>19</v>
      </c>
      <c r="B3" s="6" t="s">
        <v>20</v>
      </c>
      <c r="C3" s="7">
        <v>1.99</v>
      </c>
      <c r="D3" s="7">
        <v>1.5</v>
      </c>
      <c r="E3" s="7">
        <v>3.79</v>
      </c>
      <c r="F3" s="7">
        <v>2.99</v>
      </c>
      <c r="G3" s="8">
        <f t="shared" si="1"/>
        <v>2.5675</v>
      </c>
      <c r="H3" s="9">
        <v>1.1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1.75" customHeight="1">
      <c r="A4" s="6" t="s">
        <v>21</v>
      </c>
      <c r="B4" s="6" t="s">
        <v>20</v>
      </c>
      <c r="C4" s="7">
        <v>0.85</v>
      </c>
      <c r="D4" s="7">
        <v>0.75</v>
      </c>
      <c r="E4" s="7">
        <v>0.99</v>
      </c>
      <c r="F4" s="7">
        <v>1.69</v>
      </c>
      <c r="G4" s="8">
        <f t="shared" si="1"/>
        <v>1.07</v>
      </c>
      <c r="H4" s="7">
        <v>0.75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1.75" customHeight="1">
      <c r="A5" s="6" t="s">
        <v>22</v>
      </c>
      <c r="B5" s="6" t="s">
        <v>20</v>
      </c>
      <c r="C5" s="7">
        <v>2.89</v>
      </c>
      <c r="D5" s="7">
        <v>3.99</v>
      </c>
      <c r="E5" s="7">
        <v>4.99</v>
      </c>
      <c r="F5" s="7">
        <v>4.49</v>
      </c>
      <c r="G5" s="8">
        <f t="shared" si="1"/>
        <v>4.09</v>
      </c>
      <c r="H5" s="7">
        <v>3.96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1.75" customHeight="1">
      <c r="A6" s="6" t="s">
        <v>23</v>
      </c>
      <c r="B6" s="6" t="s">
        <v>24</v>
      </c>
      <c r="C6" s="7">
        <v>5.71</v>
      </c>
      <c r="D6" s="7">
        <v>10.99</v>
      </c>
      <c r="E6" s="7">
        <v>1.99</v>
      </c>
      <c r="F6" s="7">
        <v>6.99</v>
      </c>
      <c r="G6" s="8">
        <f t="shared" si="1"/>
        <v>6.42</v>
      </c>
      <c r="H6" s="7">
        <v>9.05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1.75" customHeight="1">
      <c r="A7" s="6" t="s">
        <v>25</v>
      </c>
      <c r="B7" s="6" t="s">
        <v>24</v>
      </c>
      <c r="C7" s="7">
        <v>2.09</v>
      </c>
      <c r="D7" s="7">
        <v>2.89</v>
      </c>
      <c r="E7" s="7">
        <v>3.69</v>
      </c>
      <c r="F7" s="7">
        <v>1.99</v>
      </c>
      <c r="G7" s="8">
        <f t="shared" si="1"/>
        <v>2.665</v>
      </c>
      <c r="H7" s="7">
        <v>1.31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1.75" customHeight="1">
      <c r="A8" s="6" t="s">
        <v>26</v>
      </c>
      <c r="B8" s="6" t="s">
        <v>24</v>
      </c>
      <c r="C8" s="7">
        <v>3.29</v>
      </c>
      <c r="D8" s="7">
        <v>5.49</v>
      </c>
      <c r="E8" s="7">
        <v>5.59</v>
      </c>
      <c r="F8" s="7">
        <v>3.99</v>
      </c>
      <c r="G8" s="8">
        <f t="shared" si="1"/>
        <v>4.59</v>
      </c>
      <c r="H8" s="7">
        <v>4.87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1.75" customHeight="1">
      <c r="A9" s="6" t="s">
        <v>27</v>
      </c>
      <c r="B9" s="6" t="s">
        <v>28</v>
      </c>
      <c r="C9" s="7">
        <v>1.19</v>
      </c>
      <c r="D9" s="7">
        <v>5.78</v>
      </c>
      <c r="E9" s="7">
        <v>2.49</v>
      </c>
      <c r="F9" s="7">
        <v>2.49</v>
      </c>
      <c r="G9" s="8">
        <f t="shared" si="1"/>
        <v>2.9875</v>
      </c>
      <c r="H9" s="7">
        <v>1.3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1.75" customHeight="1">
      <c r="A10" s="6" t="s">
        <v>29</v>
      </c>
      <c r="B10" s="6" t="s">
        <v>28</v>
      </c>
      <c r="C10" s="7">
        <v>1.1</v>
      </c>
      <c r="D10" s="7">
        <v>3.3</v>
      </c>
      <c r="E10" s="7">
        <v>2.49</v>
      </c>
      <c r="F10" s="7">
        <v>4.99</v>
      </c>
      <c r="G10" s="8">
        <f t="shared" si="1"/>
        <v>2.97</v>
      </c>
      <c r="H10" s="7">
        <v>2.29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1.75" customHeight="1">
      <c r="A11" s="6" t="s">
        <v>30</v>
      </c>
      <c r="B11" s="6" t="s">
        <v>28</v>
      </c>
      <c r="C11" s="7">
        <v>10.64</v>
      </c>
      <c r="D11" s="7">
        <v>6.99</v>
      </c>
      <c r="E11" s="7">
        <v>17.55</v>
      </c>
      <c r="F11" s="7">
        <v>9.99</v>
      </c>
      <c r="G11" s="8">
        <f t="shared" si="1"/>
        <v>11.2925</v>
      </c>
      <c r="H11" s="7">
        <v>5.08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21.75" customHeight="1">
      <c r="A12" s="6" t="s">
        <v>31</v>
      </c>
      <c r="B12" s="6" t="s">
        <v>28</v>
      </c>
      <c r="C12" s="7">
        <v>1.99</v>
      </c>
      <c r="D12" s="7">
        <v>2.57</v>
      </c>
      <c r="E12" s="7">
        <v>2.0</v>
      </c>
      <c r="F12" s="7">
        <v>1.19</v>
      </c>
      <c r="G12" s="8">
        <f t="shared" si="1"/>
        <v>1.9375</v>
      </c>
      <c r="H12" s="7">
        <v>1.71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21.75" customHeight="1">
      <c r="A13" s="6" t="s">
        <v>32</v>
      </c>
      <c r="B13" s="6" t="s">
        <v>33</v>
      </c>
      <c r="C13" s="7">
        <v>3.77</v>
      </c>
      <c r="D13" s="7">
        <v>4.89</v>
      </c>
      <c r="E13" s="7">
        <v>5.39</v>
      </c>
      <c r="F13" s="7">
        <v>3.99</v>
      </c>
      <c r="G13" s="8">
        <f t="shared" si="1"/>
        <v>4.51</v>
      </c>
      <c r="H13" s="7">
        <v>4.05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21.75" customHeight="1">
      <c r="A14" s="6" t="s">
        <v>34</v>
      </c>
      <c r="B14" s="6" t="s">
        <v>33</v>
      </c>
      <c r="C14" s="7">
        <v>1.97</v>
      </c>
      <c r="D14" s="7">
        <v>3.99</v>
      </c>
      <c r="E14" s="7">
        <v>5.79</v>
      </c>
      <c r="F14" s="7">
        <v>2.99</v>
      </c>
      <c r="G14" s="8">
        <f t="shared" si="1"/>
        <v>3.685</v>
      </c>
      <c r="H14" s="7">
        <v>2.71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1.75" customHeight="1">
      <c r="A15" s="6" t="s">
        <v>35</v>
      </c>
      <c r="B15" s="6" t="s">
        <v>33</v>
      </c>
      <c r="C15" s="7">
        <v>3.25</v>
      </c>
      <c r="D15" s="7">
        <v>9.38</v>
      </c>
      <c r="E15" s="7">
        <v>4.49</v>
      </c>
      <c r="F15" s="7">
        <v>3.99</v>
      </c>
      <c r="G15" s="8">
        <f t="shared" si="1"/>
        <v>5.2775</v>
      </c>
      <c r="H15" s="7">
        <v>4.38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21.75" customHeight="1">
      <c r="A16" s="6" t="s">
        <v>36</v>
      </c>
      <c r="B16" s="6" t="s">
        <v>33</v>
      </c>
      <c r="C16" s="7">
        <v>1.69</v>
      </c>
      <c r="D16" s="7">
        <v>8.78</v>
      </c>
      <c r="E16" s="7">
        <v>2.0</v>
      </c>
      <c r="F16" s="7">
        <v>4.79</v>
      </c>
      <c r="G16" s="8">
        <f t="shared" si="1"/>
        <v>4.315</v>
      </c>
      <c r="H16" s="7">
        <v>5.98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21.75" customHeight="1">
      <c r="A17" s="6" t="s">
        <v>37</v>
      </c>
      <c r="B17" s="6" t="s">
        <v>33</v>
      </c>
      <c r="C17" s="7">
        <v>3.49</v>
      </c>
      <c r="D17" s="7">
        <v>1.75</v>
      </c>
      <c r="E17" s="7">
        <v>1.79</v>
      </c>
      <c r="F17" s="7">
        <v>1.19</v>
      </c>
      <c r="G17" s="8">
        <f t="shared" si="1"/>
        <v>2.055</v>
      </c>
      <c r="H17" s="9">
        <v>1.52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21.75" customHeight="1">
      <c r="A18" s="6" t="s">
        <v>38</v>
      </c>
      <c r="B18" s="6" t="s">
        <v>39</v>
      </c>
      <c r="C18" s="7">
        <v>2.09</v>
      </c>
      <c r="D18" s="7">
        <v>8.21</v>
      </c>
      <c r="E18" s="7">
        <v>4.29</v>
      </c>
      <c r="F18" s="7">
        <v>2.79</v>
      </c>
      <c r="G18" s="8">
        <f t="shared" si="1"/>
        <v>4.345</v>
      </c>
      <c r="H18" s="7">
        <v>3.99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1.75" customHeight="1">
      <c r="A19" s="6" t="s">
        <v>40</v>
      </c>
      <c r="B19" s="6" t="s">
        <v>41</v>
      </c>
      <c r="C19" s="7">
        <v>2.29</v>
      </c>
      <c r="D19" s="7">
        <v>3.49</v>
      </c>
      <c r="E19" s="7">
        <v>4.99</v>
      </c>
      <c r="F19" s="7">
        <v>1.5</v>
      </c>
      <c r="G19" s="8">
        <f t="shared" si="1"/>
        <v>3.0675</v>
      </c>
      <c r="H19" s="7">
        <v>1.32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1.75" customHeight="1">
      <c r="A20" s="6" t="s">
        <v>42</v>
      </c>
      <c r="B20" s="6" t="s">
        <v>41</v>
      </c>
      <c r="C20" s="7">
        <v>0.73</v>
      </c>
      <c r="D20" s="7">
        <v>0.89</v>
      </c>
      <c r="E20" s="7">
        <v>0.64</v>
      </c>
      <c r="F20" s="7">
        <v>0.23</v>
      </c>
      <c r="G20" s="8">
        <f t="shared" si="1"/>
        <v>0.6225</v>
      </c>
      <c r="H20" s="7">
        <v>0.66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1.75" customHeight="1">
      <c r="A21" s="6" t="s">
        <v>43</v>
      </c>
      <c r="B21" s="6" t="s">
        <v>41</v>
      </c>
      <c r="C21" s="7">
        <v>1.3</v>
      </c>
      <c r="D21" s="7">
        <v>2.66</v>
      </c>
      <c r="E21" s="7">
        <v>1.5</v>
      </c>
      <c r="F21" s="7">
        <v>1.25</v>
      </c>
      <c r="G21" s="8">
        <f t="shared" si="1"/>
        <v>1.6775</v>
      </c>
      <c r="H21" s="7">
        <v>1.57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1.75" customHeight="1">
      <c r="A22" s="6" t="s">
        <v>44</v>
      </c>
      <c r="B22" s="6" t="s">
        <v>45</v>
      </c>
      <c r="C22" s="7">
        <v>1.03</v>
      </c>
      <c r="D22" s="7">
        <v>4.19</v>
      </c>
      <c r="E22" s="7">
        <v>1.5</v>
      </c>
      <c r="F22" s="7">
        <v>1.9</v>
      </c>
      <c r="G22" s="8">
        <f t="shared" si="1"/>
        <v>2.155</v>
      </c>
      <c r="H22" s="9">
        <v>1.08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1.75" customHeight="1">
      <c r="A23" s="6" t="s">
        <v>46</v>
      </c>
      <c r="B23" s="6" t="s">
        <v>45</v>
      </c>
      <c r="C23" s="7">
        <v>1.89</v>
      </c>
      <c r="D23" s="7">
        <v>2.29</v>
      </c>
      <c r="E23" s="7">
        <v>1.99</v>
      </c>
      <c r="F23" s="7">
        <v>1.49</v>
      </c>
      <c r="G23" s="8">
        <f t="shared" si="1"/>
        <v>1.915</v>
      </c>
      <c r="H23" s="9">
        <v>1.31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1.75" customHeight="1">
      <c r="A24" s="6" t="s">
        <v>47</v>
      </c>
      <c r="B24" s="6" t="s">
        <v>45</v>
      </c>
      <c r="C24" s="7">
        <v>2.49</v>
      </c>
      <c r="D24" s="7">
        <v>4.99</v>
      </c>
      <c r="E24" s="7">
        <v>4.99</v>
      </c>
      <c r="F24" s="7">
        <v>1.99</v>
      </c>
      <c r="G24" s="8">
        <f t="shared" si="1"/>
        <v>3.615</v>
      </c>
      <c r="H24" s="7">
        <v>3.32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1.75" customHeight="1">
      <c r="A25" s="6" t="s">
        <v>48</v>
      </c>
      <c r="B25" s="6" t="s">
        <v>49</v>
      </c>
      <c r="C25" s="7">
        <v>3.99</v>
      </c>
      <c r="D25" s="7">
        <v>5.39</v>
      </c>
      <c r="E25" s="7">
        <v>5.49</v>
      </c>
      <c r="F25" s="7">
        <v>5.99</v>
      </c>
      <c r="G25" s="8">
        <f t="shared" si="1"/>
        <v>5.215</v>
      </c>
      <c r="H25" s="7">
        <v>4.17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1.75" customHeight="1">
      <c r="A26" s="6" t="s">
        <v>50</v>
      </c>
      <c r="B26" s="6" t="s">
        <v>49</v>
      </c>
      <c r="C26" s="7">
        <v>5.29</v>
      </c>
      <c r="D26" s="7">
        <v>8.29</v>
      </c>
      <c r="E26" s="7">
        <v>5.49</v>
      </c>
      <c r="F26" s="7">
        <v>7.49</v>
      </c>
      <c r="G26" s="8">
        <f t="shared" si="1"/>
        <v>6.64</v>
      </c>
      <c r="H26" s="7">
        <v>6.52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21.75" customHeight="1">
      <c r="A27" s="6" t="s">
        <v>51</v>
      </c>
      <c r="B27" s="6" t="s">
        <v>52</v>
      </c>
      <c r="C27" s="7">
        <v>1.99</v>
      </c>
      <c r="D27" s="7">
        <v>5.11</v>
      </c>
      <c r="E27" s="7">
        <v>1.49</v>
      </c>
      <c r="F27" s="7">
        <v>1.99</v>
      </c>
      <c r="G27" s="8">
        <f t="shared" si="1"/>
        <v>2.645</v>
      </c>
      <c r="H27" s="7">
        <v>3.17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21.75" customHeight="1">
      <c r="A28" s="6" t="s">
        <v>53</v>
      </c>
      <c r="B28" s="6" t="s">
        <v>54</v>
      </c>
      <c r="C28" s="7">
        <v>3.19</v>
      </c>
      <c r="D28" s="7">
        <v>4.57</v>
      </c>
      <c r="E28" s="7">
        <v>2.49</v>
      </c>
      <c r="F28" s="7">
        <v>2.49</v>
      </c>
      <c r="G28" s="8">
        <f t="shared" si="1"/>
        <v>3.185</v>
      </c>
      <c r="H28" s="7">
        <v>1.83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21.75" customHeight="1">
      <c r="A29" s="6" t="s">
        <v>55</v>
      </c>
      <c r="B29" s="6" t="s">
        <v>54</v>
      </c>
      <c r="C29" s="7">
        <v>0.41</v>
      </c>
      <c r="D29" s="7">
        <v>0.99</v>
      </c>
      <c r="E29" s="7">
        <v>0.8</v>
      </c>
      <c r="F29" s="7">
        <v>0.87</v>
      </c>
      <c r="G29" s="8">
        <f t="shared" si="1"/>
        <v>0.7675</v>
      </c>
      <c r="H29" s="7">
        <v>0.87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21.75" customHeight="1">
      <c r="A30" s="6" t="s">
        <v>56</v>
      </c>
      <c r="B30" s="6" t="s">
        <v>54</v>
      </c>
      <c r="C30" s="7">
        <v>1.1</v>
      </c>
      <c r="D30" s="7">
        <v>1.0</v>
      </c>
      <c r="E30" s="7">
        <v>1.0</v>
      </c>
      <c r="F30" s="7">
        <v>3.99</v>
      </c>
      <c r="G30" s="8">
        <f t="shared" si="1"/>
        <v>1.7725</v>
      </c>
      <c r="H30" s="7">
        <v>1.29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21.75" customHeight="1">
      <c r="A31" s="6" t="s">
        <v>57</v>
      </c>
      <c r="B31" s="6" t="s">
        <v>54</v>
      </c>
      <c r="C31" s="7">
        <v>1.25</v>
      </c>
      <c r="D31" s="7">
        <v>5.89</v>
      </c>
      <c r="E31" s="7">
        <v>2.79</v>
      </c>
      <c r="F31" s="7">
        <v>1.99</v>
      </c>
      <c r="G31" s="8">
        <f t="shared" si="1"/>
        <v>2.98</v>
      </c>
      <c r="H31" s="7">
        <v>1.2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21.75" customHeight="1">
      <c r="A32" s="6" t="s">
        <v>58</v>
      </c>
      <c r="B32" s="6" t="s">
        <v>54</v>
      </c>
      <c r="C32" s="7">
        <v>1.05</v>
      </c>
      <c r="D32" s="7">
        <v>1.49</v>
      </c>
      <c r="E32" s="7">
        <v>1.05</v>
      </c>
      <c r="F32" s="7">
        <v>1.99</v>
      </c>
      <c r="G32" s="8">
        <f t="shared" si="1"/>
        <v>1.395</v>
      </c>
      <c r="H32" s="7">
        <v>1.95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21.75" customHeight="1">
      <c r="A33" s="6" t="s">
        <v>59</v>
      </c>
      <c r="B33" s="6" t="s">
        <v>49</v>
      </c>
      <c r="C33" s="7">
        <v>5.79</v>
      </c>
      <c r="D33" s="7">
        <v>3.29</v>
      </c>
      <c r="E33" s="7">
        <v>8.99</v>
      </c>
      <c r="F33" s="7">
        <v>5.99</v>
      </c>
      <c r="G33" s="8">
        <f t="shared" si="1"/>
        <v>6.015</v>
      </c>
      <c r="H33" s="7">
        <v>2.02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1.75" customHeight="1">
      <c r="A34" s="6" t="s">
        <v>60</v>
      </c>
      <c r="B34" s="6" t="s">
        <v>20</v>
      </c>
      <c r="C34" s="7">
        <v>1.49</v>
      </c>
      <c r="D34" s="7">
        <v>2.49</v>
      </c>
      <c r="E34" s="7">
        <v>1.1</v>
      </c>
      <c r="F34" s="7">
        <v>2.79</v>
      </c>
      <c r="G34" s="8">
        <f t="shared" si="1"/>
        <v>1.9675</v>
      </c>
      <c r="H34" s="7">
        <v>1.58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1.75" customHeight="1">
      <c r="A35" s="6"/>
      <c r="B35" s="6"/>
      <c r="C35" s="6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1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21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21.75" customHeight="1">
      <c r="A45" s="5"/>
      <c r="B45" s="5"/>
      <c r="C45" s="5"/>
      <c r="D45" s="5"/>
      <c r="E45" s="5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21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21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21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21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1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21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21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21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21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21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21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21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21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21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21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21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  <col customWidth="1" min="9" max="9" width="11.88"/>
  </cols>
  <sheetData>
    <row r="1" ht="21.75" customHeight="1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1"/>
    </row>
    <row r="2" ht="21.75" customHeight="1">
      <c r="A2" s="6" t="s">
        <v>16</v>
      </c>
      <c r="B2" s="6" t="s">
        <v>17</v>
      </c>
      <c r="C2" s="7">
        <v>2.75</v>
      </c>
      <c r="D2" s="7">
        <v>3.99</v>
      </c>
      <c r="E2" s="7">
        <v>3.69</v>
      </c>
      <c r="F2" s="7">
        <v>2.49</v>
      </c>
      <c r="G2" s="8">
        <f t="shared" ref="G2:G34" si="1">AVERAGE(C2:F2)</f>
        <v>3.23</v>
      </c>
      <c r="H2" s="7">
        <v>1.83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1"/>
    </row>
    <row r="3" ht="21.75" customHeight="1">
      <c r="A3" s="6" t="s">
        <v>19</v>
      </c>
      <c r="B3" s="6" t="s">
        <v>20</v>
      </c>
      <c r="C3" s="7">
        <v>1.99</v>
      </c>
      <c r="D3" s="7">
        <v>3.59</v>
      </c>
      <c r="E3" s="7">
        <v>3.49</v>
      </c>
      <c r="F3" s="7">
        <v>2.99</v>
      </c>
      <c r="G3" s="8">
        <f t="shared" si="1"/>
        <v>3.015</v>
      </c>
      <c r="H3" s="9">
        <v>1.1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1"/>
    </row>
    <row r="4" ht="21.75" customHeight="1">
      <c r="A4" s="6" t="s">
        <v>21</v>
      </c>
      <c r="B4" s="6" t="s">
        <v>20</v>
      </c>
      <c r="C4" s="7">
        <v>0.75</v>
      </c>
      <c r="D4" s="7">
        <v>3.19</v>
      </c>
      <c r="E4" s="7">
        <v>1.99</v>
      </c>
      <c r="F4" s="7">
        <v>1.69</v>
      </c>
      <c r="G4" s="8">
        <f t="shared" si="1"/>
        <v>1.905</v>
      </c>
      <c r="H4" s="7">
        <v>0.75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/>
    </row>
    <row r="5" ht="21.75" customHeight="1">
      <c r="A5" s="6" t="s">
        <v>22</v>
      </c>
      <c r="B5" s="6" t="s">
        <v>20</v>
      </c>
      <c r="C5" s="7">
        <v>3.1</v>
      </c>
      <c r="D5" s="7">
        <v>4.99</v>
      </c>
      <c r="E5" s="7">
        <v>4.99</v>
      </c>
      <c r="F5" s="7">
        <v>4.49</v>
      </c>
      <c r="G5" s="8">
        <f t="shared" si="1"/>
        <v>4.3925</v>
      </c>
      <c r="H5" s="7">
        <v>3.96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1"/>
    </row>
    <row r="6" ht="21.75" customHeight="1">
      <c r="A6" s="6" t="s">
        <v>23</v>
      </c>
      <c r="B6" s="6" t="s">
        <v>24</v>
      </c>
      <c r="C6" s="7">
        <v>6.29</v>
      </c>
      <c r="D6" s="7">
        <v>11.99</v>
      </c>
      <c r="E6" s="7">
        <v>7.99</v>
      </c>
      <c r="F6" s="7">
        <v>6.99</v>
      </c>
      <c r="G6" s="8">
        <f t="shared" si="1"/>
        <v>8.315</v>
      </c>
      <c r="H6" s="7">
        <v>9.05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1"/>
    </row>
    <row r="7" ht="21.75" customHeight="1">
      <c r="A7" s="6" t="s">
        <v>25</v>
      </c>
      <c r="B7" s="6" t="s">
        <v>24</v>
      </c>
      <c r="C7" s="7">
        <v>2.15</v>
      </c>
      <c r="D7" s="7">
        <v>1.18</v>
      </c>
      <c r="E7" s="7">
        <v>1.13</v>
      </c>
      <c r="F7" s="7">
        <v>1.99</v>
      </c>
      <c r="G7" s="8">
        <f t="shared" si="1"/>
        <v>1.6125</v>
      </c>
      <c r="H7" s="7">
        <v>1.31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ht="21.75" customHeight="1">
      <c r="A8" s="6" t="s">
        <v>26</v>
      </c>
      <c r="B8" s="6" t="s">
        <v>24</v>
      </c>
      <c r="C8" s="7">
        <v>3.65</v>
      </c>
      <c r="D8" s="7">
        <v>5.27</v>
      </c>
      <c r="E8" s="7">
        <v>4.99</v>
      </c>
      <c r="F8" s="7">
        <v>3.99</v>
      </c>
      <c r="G8" s="8">
        <f t="shared" si="1"/>
        <v>4.475</v>
      </c>
      <c r="H8" s="7">
        <v>4.87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ht="21.75" customHeight="1">
      <c r="A9" s="6" t="s">
        <v>27</v>
      </c>
      <c r="B9" s="6" t="s">
        <v>28</v>
      </c>
      <c r="C9" s="7">
        <v>1.39</v>
      </c>
      <c r="D9" s="7">
        <v>3.49</v>
      </c>
      <c r="E9" s="7">
        <v>1.25</v>
      </c>
      <c r="F9" s="7">
        <v>2.49</v>
      </c>
      <c r="G9" s="8">
        <f t="shared" si="1"/>
        <v>2.155</v>
      </c>
      <c r="H9" s="7">
        <v>1.3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ht="21.75" customHeight="1">
      <c r="A10" s="6" t="s">
        <v>29</v>
      </c>
      <c r="B10" s="6" t="s">
        <v>28</v>
      </c>
      <c r="C10" s="7">
        <v>3.85</v>
      </c>
      <c r="D10" s="7">
        <v>4.79</v>
      </c>
      <c r="E10" s="7">
        <v>2.49</v>
      </c>
      <c r="F10" s="7">
        <v>4.99</v>
      </c>
      <c r="G10" s="8">
        <f t="shared" si="1"/>
        <v>4.03</v>
      </c>
      <c r="H10" s="7">
        <v>2.29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ht="21.75" customHeight="1">
      <c r="A11" s="6" t="s">
        <v>30</v>
      </c>
      <c r="B11" s="6" t="s">
        <v>28</v>
      </c>
      <c r="C11" s="7">
        <v>3.45</v>
      </c>
      <c r="D11" s="7">
        <v>5.19</v>
      </c>
      <c r="E11" s="7">
        <v>3.29</v>
      </c>
      <c r="F11" s="7">
        <v>9.99</v>
      </c>
      <c r="G11" s="8">
        <f t="shared" si="1"/>
        <v>5.48</v>
      </c>
      <c r="H11" s="7">
        <v>5.08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ht="21.75" customHeight="1">
      <c r="A12" s="6" t="s">
        <v>31</v>
      </c>
      <c r="B12" s="6" t="s">
        <v>28</v>
      </c>
      <c r="C12" s="7">
        <v>2.09</v>
      </c>
      <c r="D12" s="7">
        <v>3.19</v>
      </c>
      <c r="E12" s="7">
        <v>2.49</v>
      </c>
      <c r="F12" s="7">
        <v>1.19</v>
      </c>
      <c r="G12" s="8">
        <f t="shared" si="1"/>
        <v>2.24</v>
      </c>
      <c r="H12" s="7">
        <v>1.71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ht="21.75" customHeight="1">
      <c r="A13" s="6" t="s">
        <v>32</v>
      </c>
      <c r="B13" s="6" t="s">
        <v>33</v>
      </c>
      <c r="C13" s="7">
        <v>3.35</v>
      </c>
      <c r="D13" s="7">
        <v>4.99</v>
      </c>
      <c r="E13" s="7">
        <v>5.49</v>
      </c>
      <c r="F13" s="7">
        <v>3.99</v>
      </c>
      <c r="G13" s="8">
        <f t="shared" si="1"/>
        <v>4.455</v>
      </c>
      <c r="H13" s="7">
        <v>4.05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ht="21.75" customHeight="1">
      <c r="A14" s="6" t="s">
        <v>34</v>
      </c>
      <c r="B14" s="6" t="s">
        <v>33</v>
      </c>
      <c r="C14" s="7">
        <v>2.19</v>
      </c>
      <c r="D14" s="7">
        <v>2.5</v>
      </c>
      <c r="E14" s="7">
        <v>3.49</v>
      </c>
      <c r="F14" s="7">
        <v>2.99</v>
      </c>
      <c r="G14" s="8">
        <f t="shared" si="1"/>
        <v>2.7925</v>
      </c>
      <c r="H14" s="7">
        <v>2.71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ht="21.75" customHeight="1">
      <c r="A15" s="6" t="s">
        <v>35</v>
      </c>
      <c r="B15" s="6" t="s">
        <v>33</v>
      </c>
      <c r="C15" s="7">
        <v>3.59</v>
      </c>
      <c r="D15" s="7">
        <v>8.49</v>
      </c>
      <c r="E15" s="7">
        <v>5.99</v>
      </c>
      <c r="F15" s="7">
        <v>3.49</v>
      </c>
      <c r="G15" s="8">
        <f t="shared" si="1"/>
        <v>5.39</v>
      </c>
      <c r="H15" s="7">
        <v>4.38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1"/>
    </row>
    <row r="16" ht="21.75" customHeight="1">
      <c r="A16" s="6" t="s">
        <v>36</v>
      </c>
      <c r="B16" s="6" t="s">
        <v>33</v>
      </c>
      <c r="C16" s="7">
        <v>1.89</v>
      </c>
      <c r="D16" s="7">
        <v>4.99</v>
      </c>
      <c r="E16" s="7">
        <v>2.0</v>
      </c>
      <c r="F16" s="7">
        <v>4.79</v>
      </c>
      <c r="G16" s="8">
        <f t="shared" si="1"/>
        <v>3.4175</v>
      </c>
      <c r="H16" s="7">
        <v>5.98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1"/>
    </row>
    <row r="17" ht="21.75" customHeight="1">
      <c r="A17" s="6" t="s">
        <v>37</v>
      </c>
      <c r="B17" s="6" t="s">
        <v>33</v>
      </c>
      <c r="C17" s="7">
        <v>1.39</v>
      </c>
      <c r="D17" s="7">
        <v>1.67</v>
      </c>
      <c r="E17" s="7">
        <v>1.79</v>
      </c>
      <c r="F17" s="7">
        <v>1.19</v>
      </c>
      <c r="G17" s="8">
        <f t="shared" si="1"/>
        <v>1.51</v>
      </c>
      <c r="H17" s="9">
        <v>1.52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1"/>
    </row>
    <row r="18" ht="21.75" customHeight="1">
      <c r="A18" s="6" t="s">
        <v>38</v>
      </c>
      <c r="B18" s="6" t="s">
        <v>39</v>
      </c>
      <c r="C18" s="7">
        <v>2.35</v>
      </c>
      <c r="D18" s="7">
        <v>4.99</v>
      </c>
      <c r="E18" s="7">
        <v>3.39</v>
      </c>
      <c r="F18" s="7">
        <v>2.79</v>
      </c>
      <c r="G18" s="8">
        <f t="shared" si="1"/>
        <v>3.38</v>
      </c>
      <c r="H18" s="7">
        <v>3.99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1"/>
    </row>
    <row r="19" ht="21.75" customHeight="1">
      <c r="A19" s="6" t="s">
        <v>40</v>
      </c>
      <c r="B19" s="6" t="s">
        <v>41</v>
      </c>
      <c r="C19" s="7">
        <v>2.29</v>
      </c>
      <c r="D19" s="7">
        <v>1.99</v>
      </c>
      <c r="E19" s="7">
        <v>1.6</v>
      </c>
      <c r="F19" s="7">
        <v>1.5</v>
      </c>
      <c r="G19" s="8">
        <f t="shared" si="1"/>
        <v>1.845</v>
      </c>
      <c r="H19" s="7">
        <v>1.32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1"/>
    </row>
    <row r="20" ht="21.75" customHeight="1">
      <c r="A20" s="6" t="s">
        <v>42</v>
      </c>
      <c r="B20" s="6" t="s">
        <v>41</v>
      </c>
      <c r="C20" s="7">
        <v>0.73</v>
      </c>
      <c r="D20" s="7">
        <v>0.89</v>
      </c>
      <c r="E20" s="7">
        <v>1.66</v>
      </c>
      <c r="F20" s="7">
        <v>0.23</v>
      </c>
      <c r="G20" s="8">
        <f t="shared" si="1"/>
        <v>0.8775</v>
      </c>
      <c r="H20" s="7">
        <v>0.66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1"/>
    </row>
    <row r="21" ht="21.75" customHeight="1">
      <c r="A21" s="6" t="s">
        <v>43</v>
      </c>
      <c r="B21" s="6" t="s">
        <v>41</v>
      </c>
      <c r="C21" s="7">
        <v>1.3</v>
      </c>
      <c r="D21" s="7">
        <v>2.66</v>
      </c>
      <c r="E21" s="7">
        <v>2.56</v>
      </c>
      <c r="F21" s="7">
        <v>1.25</v>
      </c>
      <c r="G21" s="8">
        <f t="shared" si="1"/>
        <v>1.9425</v>
      </c>
      <c r="H21" s="7">
        <v>1.57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1"/>
    </row>
    <row r="22" ht="21.75" customHeight="1">
      <c r="A22" s="6" t="s">
        <v>44</v>
      </c>
      <c r="B22" s="6" t="s">
        <v>45</v>
      </c>
      <c r="C22" s="7">
        <v>4.29</v>
      </c>
      <c r="D22" s="7">
        <v>2.4</v>
      </c>
      <c r="E22" s="7">
        <v>2.99</v>
      </c>
      <c r="F22" s="7">
        <v>1.9</v>
      </c>
      <c r="G22" s="8">
        <f t="shared" si="1"/>
        <v>2.895</v>
      </c>
      <c r="H22" s="9">
        <v>1.08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1"/>
    </row>
    <row r="23" ht="21.75" customHeight="1">
      <c r="A23" s="6" t="s">
        <v>46</v>
      </c>
      <c r="B23" s="6" t="s">
        <v>45</v>
      </c>
      <c r="C23" s="7">
        <v>1.89</v>
      </c>
      <c r="D23" s="7">
        <v>2.39</v>
      </c>
      <c r="E23" s="7">
        <v>1.99</v>
      </c>
      <c r="F23" s="7">
        <v>1.49</v>
      </c>
      <c r="G23" s="8">
        <f t="shared" si="1"/>
        <v>1.94</v>
      </c>
      <c r="H23" s="9">
        <v>1.31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1"/>
    </row>
    <row r="24" ht="21.75" customHeight="1">
      <c r="A24" s="6" t="s">
        <v>47</v>
      </c>
      <c r="B24" s="6" t="s">
        <v>45</v>
      </c>
      <c r="C24" s="7">
        <v>2.49</v>
      </c>
      <c r="D24" s="7">
        <v>6.99</v>
      </c>
      <c r="E24" s="7">
        <v>3.0</v>
      </c>
      <c r="F24" s="7">
        <v>1.99</v>
      </c>
      <c r="G24" s="8">
        <f t="shared" si="1"/>
        <v>3.6175</v>
      </c>
      <c r="H24" s="7">
        <v>3.32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1"/>
    </row>
    <row r="25" ht="21.75" customHeight="1">
      <c r="A25" s="6" t="s">
        <v>48</v>
      </c>
      <c r="B25" s="6" t="s">
        <v>49</v>
      </c>
      <c r="C25" s="7">
        <v>3.99</v>
      </c>
      <c r="D25" s="7">
        <v>9.59</v>
      </c>
      <c r="E25" s="7">
        <v>6.29</v>
      </c>
      <c r="F25" s="7">
        <v>5.99</v>
      </c>
      <c r="G25" s="8">
        <f t="shared" si="1"/>
        <v>6.465</v>
      </c>
      <c r="H25" s="7">
        <v>4.17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1"/>
    </row>
    <row r="26" ht="21.75" customHeight="1">
      <c r="A26" s="6" t="s">
        <v>50</v>
      </c>
      <c r="B26" s="6" t="s">
        <v>49</v>
      </c>
      <c r="C26" s="7">
        <v>5.29</v>
      </c>
      <c r="D26" s="7">
        <v>8.69</v>
      </c>
      <c r="E26" s="7">
        <v>3.49</v>
      </c>
      <c r="F26" s="7">
        <v>7.49</v>
      </c>
      <c r="G26" s="8">
        <f t="shared" si="1"/>
        <v>6.24</v>
      </c>
      <c r="H26" s="7">
        <v>6.52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1"/>
    </row>
    <row r="27" ht="21.75" customHeight="1">
      <c r="A27" s="6" t="s">
        <v>51</v>
      </c>
      <c r="B27" s="6" t="s">
        <v>52</v>
      </c>
      <c r="C27" s="7">
        <v>1.99</v>
      </c>
      <c r="D27" s="7">
        <v>3.79</v>
      </c>
      <c r="E27" s="7">
        <v>1.39</v>
      </c>
      <c r="F27" s="7">
        <v>1.99</v>
      </c>
      <c r="G27" s="8">
        <f t="shared" si="1"/>
        <v>2.29</v>
      </c>
      <c r="H27" s="7">
        <v>3.17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1"/>
    </row>
    <row r="28" ht="21.75" customHeight="1">
      <c r="A28" s="6" t="s">
        <v>53</v>
      </c>
      <c r="B28" s="6" t="s">
        <v>54</v>
      </c>
      <c r="C28" s="7">
        <v>3.19</v>
      </c>
      <c r="D28" s="7">
        <v>2.69</v>
      </c>
      <c r="E28" s="7">
        <v>3.49</v>
      </c>
      <c r="F28" s="7">
        <v>2.49</v>
      </c>
      <c r="G28" s="8">
        <f t="shared" si="1"/>
        <v>2.965</v>
      </c>
      <c r="H28" s="7">
        <v>1.83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1"/>
    </row>
    <row r="29" ht="21.75" customHeight="1">
      <c r="A29" s="6" t="s">
        <v>55</v>
      </c>
      <c r="B29" s="6" t="s">
        <v>54</v>
      </c>
      <c r="C29" s="7">
        <v>0.41</v>
      </c>
      <c r="D29" s="7">
        <v>0.99</v>
      </c>
      <c r="E29" s="7">
        <v>0.8</v>
      </c>
      <c r="F29" s="7">
        <v>0.87</v>
      </c>
      <c r="G29" s="8">
        <f t="shared" si="1"/>
        <v>0.7675</v>
      </c>
      <c r="H29" s="7">
        <v>0.87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1"/>
    </row>
    <row r="30" ht="21.75" customHeight="1">
      <c r="A30" s="6" t="s">
        <v>56</v>
      </c>
      <c r="B30" s="6" t="s">
        <v>54</v>
      </c>
      <c r="C30" s="7">
        <v>1.1</v>
      </c>
      <c r="D30" s="7">
        <v>0.99</v>
      </c>
      <c r="E30" s="7">
        <v>0.96</v>
      </c>
      <c r="F30" s="7">
        <v>3.99</v>
      </c>
      <c r="G30" s="8">
        <f t="shared" si="1"/>
        <v>1.76</v>
      </c>
      <c r="H30" s="7">
        <v>1.29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1"/>
    </row>
    <row r="31" ht="21.75" customHeight="1">
      <c r="A31" s="6" t="s">
        <v>57</v>
      </c>
      <c r="B31" s="6" t="s">
        <v>54</v>
      </c>
      <c r="C31" s="7">
        <v>1.25</v>
      </c>
      <c r="D31" s="7">
        <v>3.99</v>
      </c>
      <c r="E31" s="7">
        <v>2.79</v>
      </c>
      <c r="F31" s="7">
        <v>1.99</v>
      </c>
      <c r="G31" s="8">
        <f t="shared" si="1"/>
        <v>2.505</v>
      </c>
      <c r="H31" s="7">
        <v>1.2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1"/>
    </row>
    <row r="32" ht="21.75" customHeight="1">
      <c r="A32" s="6" t="s">
        <v>58</v>
      </c>
      <c r="B32" s="6" t="s">
        <v>54</v>
      </c>
      <c r="C32" s="7">
        <v>1.05</v>
      </c>
      <c r="D32" s="7">
        <v>1.49</v>
      </c>
      <c r="E32" s="7">
        <v>1.99</v>
      </c>
      <c r="F32" s="7">
        <v>1.99</v>
      </c>
      <c r="G32" s="8">
        <f t="shared" si="1"/>
        <v>1.63</v>
      </c>
      <c r="H32" s="7">
        <v>1.95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/>
    </row>
    <row r="33" ht="21.75" customHeight="1">
      <c r="A33" s="6" t="s">
        <v>59</v>
      </c>
      <c r="B33" s="6" t="s">
        <v>49</v>
      </c>
      <c r="C33" s="7">
        <v>5.79</v>
      </c>
      <c r="D33" s="7">
        <v>3.49</v>
      </c>
      <c r="E33" s="7">
        <v>5.49</v>
      </c>
      <c r="F33" s="7">
        <v>5.99</v>
      </c>
      <c r="G33" s="8">
        <f t="shared" si="1"/>
        <v>5.19</v>
      </c>
      <c r="H33" s="7">
        <v>2.02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/>
    </row>
    <row r="34" ht="21.75" customHeight="1">
      <c r="A34" s="6" t="s">
        <v>60</v>
      </c>
      <c r="B34" s="6" t="s">
        <v>20</v>
      </c>
      <c r="C34" s="7">
        <v>1.39</v>
      </c>
      <c r="D34" s="7">
        <v>2.99</v>
      </c>
      <c r="E34" s="7">
        <v>2.19</v>
      </c>
      <c r="F34" s="7">
        <v>2.79</v>
      </c>
      <c r="G34" s="8">
        <f t="shared" si="1"/>
        <v>2.34</v>
      </c>
      <c r="H34" s="7">
        <v>1.58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1"/>
    </row>
    <row r="35" ht="21.75" customHeight="1">
      <c r="A35" s="6"/>
      <c r="B35" s="6"/>
      <c r="C35" s="6"/>
      <c r="D35" s="5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1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1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1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1"/>
    </row>
    <row r="39" ht="21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1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1"/>
    </row>
    <row r="4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1"/>
    </row>
    <row r="42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1"/>
    </row>
    <row r="43" ht="21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1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1"/>
    </row>
    <row r="45" ht="21.75" customHeight="1">
      <c r="A45" s="5"/>
      <c r="B45" s="5"/>
      <c r="C45" s="5"/>
      <c r="D45" s="5"/>
      <c r="E45" s="5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1"/>
    </row>
    <row r="46" ht="21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1"/>
    </row>
    <row r="47" ht="21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1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1"/>
    </row>
    <row r="49" ht="21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1"/>
    </row>
    <row r="50" ht="21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1"/>
    </row>
    <row r="51" ht="21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1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1"/>
    </row>
    <row r="53" ht="21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1"/>
    </row>
    <row r="54" ht="21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1"/>
    </row>
    <row r="55" ht="21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1"/>
    </row>
    <row r="56" ht="21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1"/>
    </row>
    <row r="57" ht="21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1"/>
    </row>
    <row r="58" ht="21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1"/>
    </row>
    <row r="59" ht="21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1"/>
    </row>
    <row r="60" ht="21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1"/>
    </row>
    <row r="61" ht="21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1"/>
    </row>
    <row r="62" ht="21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1"/>
    </row>
    <row r="63" ht="21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1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1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1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1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1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1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1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1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1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1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1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1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1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1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1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1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1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1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1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1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1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1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1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1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1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1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1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1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1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1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1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1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1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1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1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1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1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1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1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1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1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1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1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1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1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1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1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1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1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1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1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1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1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1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1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1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1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1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1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1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1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1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1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1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1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1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1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1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1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1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1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1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1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1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1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1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1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1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1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1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1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1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1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1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1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1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1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1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1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1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1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1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1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1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1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1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1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1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1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1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1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1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1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1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1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1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1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1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1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1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1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1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1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1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1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1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1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1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1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1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1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1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1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1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1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1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1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1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1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1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1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1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1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1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1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1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1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1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1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1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1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1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1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1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1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1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1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1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1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1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1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1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1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1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1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1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1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1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1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1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1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1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1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1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1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1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1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1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1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1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1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1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1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1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1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1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1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1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1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1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1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1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1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1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1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1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1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1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1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1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1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1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1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1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1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1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1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1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1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1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1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1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1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1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1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1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1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1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1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1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1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1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1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1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1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1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1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1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1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1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1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1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1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1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1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1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1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1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1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1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1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1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1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1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1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1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1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1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1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1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1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1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1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1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1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1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1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1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1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1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1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1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1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1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1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1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1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1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1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1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1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1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1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1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1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1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1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1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1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1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1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1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1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1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1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1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1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1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1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1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1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1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1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1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1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1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1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1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1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1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1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1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1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1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1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1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1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1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1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1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1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1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1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1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1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1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1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1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1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1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1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1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1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1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1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1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1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1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1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1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1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1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1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1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1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1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1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1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1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1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1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1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1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1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1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1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1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1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1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1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1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1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1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1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1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1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1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1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1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1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1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1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1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1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1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1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1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1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1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1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1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1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1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1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1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1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1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1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1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1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1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1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1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1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1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1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1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1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1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1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1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1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1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1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1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1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1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1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1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1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1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1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1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1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1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1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1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1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1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1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1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1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1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1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1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1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1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1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1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1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1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1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1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1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1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1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1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1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1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1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1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1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1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1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1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1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1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1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1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1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1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1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1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1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1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1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1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1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1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1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1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1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1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1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1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1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1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1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1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1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1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1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1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1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1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1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1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1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1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1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1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1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1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1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1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1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1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1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1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1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1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1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1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1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1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1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1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1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1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1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1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1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1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1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1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1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1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1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1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1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1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1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1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1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1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1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1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1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1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1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1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1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1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1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1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1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1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1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1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1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1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1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1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1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1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1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1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1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1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1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1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1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1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1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1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1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1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1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1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1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1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1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1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1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1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1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1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1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1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1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1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1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1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1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1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1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1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1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1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1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1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1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1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1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1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1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1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1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1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1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1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1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1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1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1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1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1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1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1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1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1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1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1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1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1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1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1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1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1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1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1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1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1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1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1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1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1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1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1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1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1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1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1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1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1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1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1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1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1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1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1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1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1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1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1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1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1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1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1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1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1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1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1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1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1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1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1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1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1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1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1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1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1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1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1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1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1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1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1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1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1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1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1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1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1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1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1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1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1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1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1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1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1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1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1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1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1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1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1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1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1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1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1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1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1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1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1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1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1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1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1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1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1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1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1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1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1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1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1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1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1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1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1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1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1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1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1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1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1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1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1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1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1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1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1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1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1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1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1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1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1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1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1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1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1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1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1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1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1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1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1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1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1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1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1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1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1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1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1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1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1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1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1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1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1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1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1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1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1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1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1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1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1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1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1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1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1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1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1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1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1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1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1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1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1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1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1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1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1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1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1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1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1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1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1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1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1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1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1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1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1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1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1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1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1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1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1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1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1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1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1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1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1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1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1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1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1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1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1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1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1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1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1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1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1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1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1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1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1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1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1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1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1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1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1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1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1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1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1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1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1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1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1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1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1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1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1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1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1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1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1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1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1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1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1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1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1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1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1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1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1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1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1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1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1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1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1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1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1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1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1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1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1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1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1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1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1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1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1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1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1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1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1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1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1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1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1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1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1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1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1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1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1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1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1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1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1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1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1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1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1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1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1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1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1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1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1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1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1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1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1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1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1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1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1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1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1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1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1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1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1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1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1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1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1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1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1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1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1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1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1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1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1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1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1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1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1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1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1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1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1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1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1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1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1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1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1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1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1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1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1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1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1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1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1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1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1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1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1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1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1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1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1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1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1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  <col customWidth="1" min="9" max="9" width="11.88"/>
  </cols>
  <sheetData>
    <row r="1" ht="21.75" customHeight="1">
      <c r="A1" s="4" t="s">
        <v>0</v>
      </c>
      <c r="B1" s="4" t="s">
        <v>1</v>
      </c>
      <c r="C1" s="4" t="s">
        <v>62</v>
      </c>
      <c r="D1" s="4" t="s">
        <v>68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1"/>
    </row>
    <row r="2" ht="21.75" customHeight="1">
      <c r="A2" s="6" t="s">
        <v>16</v>
      </c>
      <c r="B2" s="6" t="s">
        <v>17</v>
      </c>
      <c r="C2" s="7">
        <v>2.79</v>
      </c>
      <c r="D2" s="7">
        <v>6.49</v>
      </c>
      <c r="E2" s="7">
        <v>3.39</v>
      </c>
      <c r="F2" s="7">
        <v>2.59</v>
      </c>
      <c r="G2" s="8">
        <v>2.49</v>
      </c>
      <c r="H2" s="7">
        <f t="shared" ref="H2:H34" si="1">AVERAGE(C2:G2)</f>
        <v>3.55</v>
      </c>
      <c r="I2" s="12">
        <v>1.83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1"/>
    </row>
    <row r="3" ht="21.75" customHeight="1">
      <c r="A3" s="6" t="s">
        <v>19</v>
      </c>
      <c r="B3" s="6" t="s">
        <v>20</v>
      </c>
      <c r="C3" s="7">
        <v>1.99</v>
      </c>
      <c r="D3" s="7">
        <v>4.99</v>
      </c>
      <c r="E3" s="7">
        <v>1.59</v>
      </c>
      <c r="F3" s="7">
        <v>3.79</v>
      </c>
      <c r="G3" s="8">
        <v>2.99</v>
      </c>
      <c r="H3" s="9">
        <f t="shared" si="1"/>
        <v>3.07</v>
      </c>
      <c r="I3" s="12">
        <v>1.1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1"/>
    </row>
    <row r="4" ht="21.75" customHeight="1">
      <c r="A4" s="6" t="s">
        <v>21</v>
      </c>
      <c r="B4" s="6" t="s">
        <v>20</v>
      </c>
      <c r="C4" s="7">
        <v>0.89</v>
      </c>
      <c r="D4" s="7">
        <v>3.99</v>
      </c>
      <c r="E4" s="7">
        <v>0.75</v>
      </c>
      <c r="F4" s="7">
        <v>0.99</v>
      </c>
      <c r="G4" s="8">
        <v>1.69</v>
      </c>
      <c r="H4" s="7">
        <f t="shared" si="1"/>
        <v>1.662</v>
      </c>
      <c r="I4" s="12">
        <v>0.75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/>
    </row>
    <row r="5" ht="21.75" customHeight="1">
      <c r="A5" s="6" t="s">
        <v>22</v>
      </c>
      <c r="B5" s="6" t="s">
        <v>20</v>
      </c>
      <c r="C5" s="7">
        <v>2.99</v>
      </c>
      <c r="D5" s="7">
        <v>6.49</v>
      </c>
      <c r="E5" s="7">
        <v>3.99</v>
      </c>
      <c r="F5" s="7">
        <v>4.99</v>
      </c>
      <c r="G5" s="8">
        <v>4.49</v>
      </c>
      <c r="H5" s="7">
        <f t="shared" si="1"/>
        <v>4.59</v>
      </c>
      <c r="I5" s="12">
        <v>3.96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1"/>
    </row>
    <row r="6" ht="21.75" customHeight="1">
      <c r="A6" s="6" t="s">
        <v>23</v>
      </c>
      <c r="B6" s="6" t="s">
        <v>24</v>
      </c>
      <c r="C6" s="7">
        <v>5.79</v>
      </c>
      <c r="D6" s="7">
        <v>10.49</v>
      </c>
      <c r="E6" s="7">
        <v>10.99</v>
      </c>
      <c r="F6" s="7">
        <v>8.29</v>
      </c>
      <c r="G6" s="8">
        <v>6.99</v>
      </c>
      <c r="H6" s="7">
        <f t="shared" si="1"/>
        <v>8.51</v>
      </c>
      <c r="I6" s="12">
        <v>9.05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1"/>
    </row>
    <row r="7" ht="21.75" customHeight="1">
      <c r="A7" s="6" t="s">
        <v>25</v>
      </c>
      <c r="B7" s="6" t="s">
        <v>24</v>
      </c>
      <c r="C7" s="7">
        <v>2.19</v>
      </c>
      <c r="D7" s="7">
        <v>3.49</v>
      </c>
      <c r="E7" s="7">
        <v>2.99</v>
      </c>
      <c r="F7" s="7">
        <v>3.69</v>
      </c>
      <c r="G7" s="8">
        <v>1.99</v>
      </c>
      <c r="H7" s="7">
        <f t="shared" si="1"/>
        <v>2.87</v>
      </c>
      <c r="I7" s="12">
        <v>1.31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ht="21.75" customHeight="1">
      <c r="A8" s="6" t="s">
        <v>26</v>
      </c>
      <c r="B8" s="6" t="s">
        <v>24</v>
      </c>
      <c r="C8" s="7">
        <v>3.39</v>
      </c>
      <c r="D8" s="7">
        <v>5.39</v>
      </c>
      <c r="E8" s="7">
        <v>5.49</v>
      </c>
      <c r="F8" s="7">
        <v>5.59</v>
      </c>
      <c r="G8" s="8">
        <v>3.99</v>
      </c>
      <c r="H8" s="7">
        <f t="shared" si="1"/>
        <v>4.77</v>
      </c>
      <c r="I8" s="12">
        <v>4.87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ht="21.75" customHeight="1">
      <c r="A9" s="6" t="s">
        <v>27</v>
      </c>
      <c r="B9" s="6" t="s">
        <v>28</v>
      </c>
      <c r="C9" s="7">
        <v>1.29</v>
      </c>
      <c r="D9" s="7">
        <v>3.49</v>
      </c>
      <c r="E9" s="7">
        <v>5.79</v>
      </c>
      <c r="F9" s="7">
        <v>2.49</v>
      </c>
      <c r="G9" s="8">
        <v>2.49</v>
      </c>
      <c r="H9" s="7">
        <f t="shared" si="1"/>
        <v>3.11</v>
      </c>
      <c r="I9" s="12">
        <v>1.3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ht="21.75" customHeight="1">
      <c r="A10" s="6" t="s">
        <v>29</v>
      </c>
      <c r="B10" s="6" t="s">
        <v>28</v>
      </c>
      <c r="C10" s="7">
        <v>1.19</v>
      </c>
      <c r="D10" s="7">
        <v>3.49</v>
      </c>
      <c r="E10" s="7">
        <v>3.39</v>
      </c>
      <c r="F10" s="7">
        <v>2.49</v>
      </c>
      <c r="G10" s="8">
        <v>4.99</v>
      </c>
      <c r="H10" s="7">
        <f t="shared" si="1"/>
        <v>3.11</v>
      </c>
      <c r="I10" s="12">
        <v>2.29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ht="21.75" customHeight="1">
      <c r="A11" s="6" t="s">
        <v>30</v>
      </c>
      <c r="B11" s="6" t="s">
        <v>28</v>
      </c>
      <c r="C11" s="7">
        <v>10.79</v>
      </c>
      <c r="D11" s="7">
        <v>9.99</v>
      </c>
      <c r="E11" s="7">
        <v>6.99</v>
      </c>
      <c r="F11" s="7">
        <v>3.79</v>
      </c>
      <c r="G11" s="8">
        <v>9.99</v>
      </c>
      <c r="H11" s="7">
        <f t="shared" si="1"/>
        <v>8.31</v>
      </c>
      <c r="I11" s="12">
        <v>5.08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ht="21.75" customHeight="1">
      <c r="A12" s="6" t="s">
        <v>31</v>
      </c>
      <c r="B12" s="6" t="s">
        <v>28</v>
      </c>
      <c r="C12" s="7">
        <v>2.09</v>
      </c>
      <c r="D12" s="7">
        <v>3.99</v>
      </c>
      <c r="E12" s="7">
        <v>2.57</v>
      </c>
      <c r="F12" s="7">
        <v>2.0</v>
      </c>
      <c r="G12" s="8">
        <v>1.19</v>
      </c>
      <c r="H12" s="7">
        <f t="shared" si="1"/>
        <v>2.368</v>
      </c>
      <c r="I12" s="12">
        <v>1.71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ht="21.75" customHeight="1">
      <c r="A13" s="6" t="s">
        <v>32</v>
      </c>
      <c r="B13" s="6" t="s">
        <v>33</v>
      </c>
      <c r="C13" s="7">
        <v>3.79</v>
      </c>
      <c r="D13" s="7">
        <v>6.29</v>
      </c>
      <c r="E13" s="7">
        <v>4.89</v>
      </c>
      <c r="F13" s="7">
        <v>5.39</v>
      </c>
      <c r="G13" s="8">
        <v>3.99</v>
      </c>
      <c r="H13" s="7">
        <f t="shared" si="1"/>
        <v>4.87</v>
      </c>
      <c r="I13" s="12">
        <v>4.05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ht="21.75" customHeight="1">
      <c r="A14" s="6" t="s">
        <v>34</v>
      </c>
      <c r="B14" s="6" t="s">
        <v>33</v>
      </c>
      <c r="C14" s="7">
        <v>1.99</v>
      </c>
      <c r="D14" s="7">
        <v>3.79</v>
      </c>
      <c r="E14" s="7">
        <v>3.99</v>
      </c>
      <c r="F14" s="7">
        <v>5.79</v>
      </c>
      <c r="G14" s="8">
        <v>2.99</v>
      </c>
      <c r="H14" s="7">
        <f t="shared" si="1"/>
        <v>3.71</v>
      </c>
      <c r="I14" s="12">
        <v>2.71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ht="21.75" customHeight="1">
      <c r="A15" s="6" t="s">
        <v>35</v>
      </c>
      <c r="B15" s="6" t="s">
        <v>33</v>
      </c>
      <c r="C15" s="7">
        <v>3.29</v>
      </c>
      <c r="D15" s="7">
        <v>3.7</v>
      </c>
      <c r="E15" s="7">
        <v>9.49</v>
      </c>
      <c r="F15" s="7">
        <v>4.49</v>
      </c>
      <c r="G15" s="8">
        <v>3.99</v>
      </c>
      <c r="H15" s="7">
        <f t="shared" si="1"/>
        <v>4.992</v>
      </c>
      <c r="I15" s="12">
        <v>4.38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1"/>
    </row>
    <row r="16" ht="21.75" customHeight="1">
      <c r="A16" s="6" t="s">
        <v>36</v>
      </c>
      <c r="B16" s="6" t="s">
        <v>33</v>
      </c>
      <c r="C16" s="7">
        <v>1.69</v>
      </c>
      <c r="D16" s="7">
        <v>4.99</v>
      </c>
      <c r="E16" s="7">
        <v>8.78</v>
      </c>
      <c r="F16" s="7">
        <v>2.0</v>
      </c>
      <c r="G16" s="8">
        <v>4.79</v>
      </c>
      <c r="H16" s="7">
        <f t="shared" si="1"/>
        <v>4.45</v>
      </c>
      <c r="I16" s="12">
        <v>5.98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1"/>
    </row>
    <row r="17" ht="21.75" customHeight="1">
      <c r="A17" s="6" t="s">
        <v>37</v>
      </c>
      <c r="B17" s="6" t="s">
        <v>33</v>
      </c>
      <c r="C17" s="7">
        <v>3.49</v>
      </c>
      <c r="D17" s="7">
        <v>1.69</v>
      </c>
      <c r="E17" s="7">
        <v>1.75</v>
      </c>
      <c r="F17" s="7">
        <v>1.79</v>
      </c>
      <c r="G17" s="8">
        <v>1.19</v>
      </c>
      <c r="H17" s="9">
        <f t="shared" si="1"/>
        <v>1.982</v>
      </c>
      <c r="I17" s="12">
        <v>1.52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1"/>
    </row>
    <row r="18" ht="21.75" customHeight="1">
      <c r="A18" s="6" t="s">
        <v>38</v>
      </c>
      <c r="B18" s="6" t="s">
        <v>39</v>
      </c>
      <c r="C18" s="7">
        <v>2.19</v>
      </c>
      <c r="D18" s="7">
        <v>4.39</v>
      </c>
      <c r="E18" s="7">
        <v>8.29</v>
      </c>
      <c r="F18" s="7">
        <v>4.29</v>
      </c>
      <c r="G18" s="8">
        <v>2.79</v>
      </c>
      <c r="H18" s="7">
        <f t="shared" si="1"/>
        <v>4.39</v>
      </c>
      <c r="I18" s="12">
        <v>3.99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1"/>
    </row>
    <row r="19" ht="21.75" customHeight="1">
      <c r="A19" s="6" t="s">
        <v>40</v>
      </c>
      <c r="B19" s="6" t="s">
        <v>41</v>
      </c>
      <c r="C19" s="7">
        <v>2.39</v>
      </c>
      <c r="D19" s="7">
        <v>4.99</v>
      </c>
      <c r="E19" s="7">
        <v>3.49</v>
      </c>
      <c r="F19" s="7">
        <v>4.99</v>
      </c>
      <c r="G19" s="8">
        <v>1.59</v>
      </c>
      <c r="H19" s="7">
        <f t="shared" si="1"/>
        <v>3.49</v>
      </c>
      <c r="I19" s="12">
        <v>1.32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1"/>
    </row>
    <row r="20" ht="21.75" customHeight="1">
      <c r="A20" s="6" t="s">
        <v>42</v>
      </c>
      <c r="B20" s="6" t="s">
        <v>41</v>
      </c>
      <c r="C20" s="7">
        <v>0.75</v>
      </c>
      <c r="D20" s="7">
        <v>2.99</v>
      </c>
      <c r="E20" s="7">
        <v>0.89</v>
      </c>
      <c r="F20" s="7">
        <v>0.64</v>
      </c>
      <c r="G20" s="8">
        <v>0.23</v>
      </c>
      <c r="H20" s="7">
        <f t="shared" si="1"/>
        <v>1.1</v>
      </c>
      <c r="I20" s="12">
        <v>0.66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1"/>
    </row>
    <row r="21" ht="21.75" customHeight="1">
      <c r="A21" s="6" t="s">
        <v>43</v>
      </c>
      <c r="B21" s="6" t="s">
        <v>41</v>
      </c>
      <c r="C21" s="7">
        <v>1.39</v>
      </c>
      <c r="D21" s="7">
        <v>1.49</v>
      </c>
      <c r="E21" s="7">
        <v>2.69</v>
      </c>
      <c r="F21" s="7">
        <v>1.5</v>
      </c>
      <c r="G21" s="8">
        <v>1.25</v>
      </c>
      <c r="H21" s="7">
        <f t="shared" si="1"/>
        <v>1.664</v>
      </c>
      <c r="I21" s="12">
        <v>1.57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1"/>
    </row>
    <row r="22" ht="21.75" customHeight="1">
      <c r="A22" s="6" t="s">
        <v>44</v>
      </c>
      <c r="B22" s="6" t="s">
        <v>45</v>
      </c>
      <c r="C22" s="7">
        <v>1.09</v>
      </c>
      <c r="D22" s="7">
        <v>4.99</v>
      </c>
      <c r="E22" s="7">
        <v>4.29</v>
      </c>
      <c r="F22" s="7">
        <v>1.5</v>
      </c>
      <c r="G22" s="8">
        <v>1.9</v>
      </c>
      <c r="H22" s="9">
        <f t="shared" si="1"/>
        <v>2.754</v>
      </c>
      <c r="I22" s="12">
        <v>1.08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1"/>
    </row>
    <row r="23" ht="21.75" customHeight="1">
      <c r="A23" s="6" t="s">
        <v>46</v>
      </c>
      <c r="B23" s="6" t="s">
        <v>45</v>
      </c>
      <c r="C23" s="7">
        <v>1.89</v>
      </c>
      <c r="D23" s="7">
        <v>2.29</v>
      </c>
      <c r="E23" s="7">
        <v>2.29</v>
      </c>
      <c r="F23" s="7">
        <v>1.99</v>
      </c>
      <c r="G23" s="8">
        <v>1.49</v>
      </c>
      <c r="H23" s="9">
        <f t="shared" si="1"/>
        <v>1.99</v>
      </c>
      <c r="I23" s="12">
        <v>1.31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1"/>
    </row>
    <row r="24" ht="21.75" customHeight="1">
      <c r="A24" s="6" t="s">
        <v>47</v>
      </c>
      <c r="B24" s="6" t="s">
        <v>45</v>
      </c>
      <c r="C24" s="7">
        <v>2.59</v>
      </c>
      <c r="D24" s="7">
        <v>6.49</v>
      </c>
      <c r="E24" s="7">
        <v>4.99</v>
      </c>
      <c r="F24" s="7">
        <v>4.99</v>
      </c>
      <c r="G24" s="8">
        <v>1.99</v>
      </c>
      <c r="H24" s="7">
        <f t="shared" si="1"/>
        <v>4.21</v>
      </c>
      <c r="I24" s="12">
        <v>3.32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1"/>
    </row>
    <row r="25" ht="21.75" customHeight="1">
      <c r="A25" s="6" t="s">
        <v>48</v>
      </c>
      <c r="B25" s="6" t="s">
        <v>49</v>
      </c>
      <c r="C25" s="7">
        <v>4.09</v>
      </c>
      <c r="D25" s="7">
        <v>7.49</v>
      </c>
      <c r="E25" s="7">
        <v>5.39</v>
      </c>
      <c r="F25" s="7">
        <v>5.49</v>
      </c>
      <c r="G25" s="8">
        <v>5.99</v>
      </c>
      <c r="H25" s="7">
        <f t="shared" si="1"/>
        <v>5.69</v>
      </c>
      <c r="I25" s="12">
        <v>4.17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1"/>
    </row>
    <row r="26" ht="21.75" customHeight="1">
      <c r="A26" s="6" t="s">
        <v>50</v>
      </c>
      <c r="B26" s="6" t="s">
        <v>49</v>
      </c>
      <c r="C26" s="7">
        <v>5.39</v>
      </c>
      <c r="D26" s="7">
        <v>8.39</v>
      </c>
      <c r="E26" s="7">
        <v>8.29</v>
      </c>
      <c r="F26" s="7">
        <v>5.49</v>
      </c>
      <c r="G26" s="8">
        <v>7.49</v>
      </c>
      <c r="H26" s="7">
        <f t="shared" si="1"/>
        <v>7.01</v>
      </c>
      <c r="I26" s="12">
        <v>6.52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1"/>
    </row>
    <row r="27" ht="21.75" customHeight="1">
      <c r="A27" s="6" t="s">
        <v>51</v>
      </c>
      <c r="B27" s="6" t="s">
        <v>52</v>
      </c>
      <c r="C27" s="7">
        <v>2.09</v>
      </c>
      <c r="D27" s="7">
        <v>2.99</v>
      </c>
      <c r="E27" s="7">
        <v>5.11</v>
      </c>
      <c r="F27" s="7">
        <v>1.49</v>
      </c>
      <c r="G27" s="8">
        <v>1.99</v>
      </c>
      <c r="H27" s="7">
        <f t="shared" si="1"/>
        <v>2.734</v>
      </c>
      <c r="I27" s="12">
        <v>3.17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1"/>
    </row>
    <row r="28" ht="21.75" customHeight="1">
      <c r="A28" s="6" t="s">
        <v>53</v>
      </c>
      <c r="B28" s="6" t="s">
        <v>54</v>
      </c>
      <c r="C28" s="7">
        <v>3.29</v>
      </c>
      <c r="D28" s="7">
        <v>6.99</v>
      </c>
      <c r="E28" s="7">
        <v>4.59</v>
      </c>
      <c r="F28" s="7">
        <v>2.49</v>
      </c>
      <c r="G28" s="8">
        <v>2.49</v>
      </c>
      <c r="H28" s="7">
        <f t="shared" si="1"/>
        <v>3.97</v>
      </c>
      <c r="I28" s="12">
        <v>1.83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1"/>
    </row>
    <row r="29" ht="21.75" customHeight="1">
      <c r="A29" s="6" t="s">
        <v>55</v>
      </c>
      <c r="B29" s="6" t="s">
        <v>54</v>
      </c>
      <c r="C29" s="7">
        <v>0.45</v>
      </c>
      <c r="D29" s="7">
        <v>1.49</v>
      </c>
      <c r="E29" s="7">
        <v>0.99</v>
      </c>
      <c r="F29" s="7">
        <v>0.8</v>
      </c>
      <c r="G29" s="8">
        <v>0.87</v>
      </c>
      <c r="H29" s="7">
        <f t="shared" si="1"/>
        <v>0.92</v>
      </c>
      <c r="I29" s="12">
        <v>0.87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1"/>
    </row>
    <row r="30" ht="21.75" customHeight="1">
      <c r="A30" s="6" t="s">
        <v>56</v>
      </c>
      <c r="B30" s="6" t="s">
        <v>54</v>
      </c>
      <c r="C30" s="7">
        <v>1.19</v>
      </c>
      <c r="D30" s="7">
        <v>1.99</v>
      </c>
      <c r="E30" s="7">
        <v>1.0</v>
      </c>
      <c r="F30" s="7">
        <v>1.0</v>
      </c>
      <c r="G30" s="8">
        <v>3.99</v>
      </c>
      <c r="H30" s="7">
        <f t="shared" si="1"/>
        <v>1.834</v>
      </c>
      <c r="I30" s="12">
        <v>1.29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1"/>
    </row>
    <row r="31" ht="21.75" customHeight="1">
      <c r="A31" s="6" t="s">
        <v>57</v>
      </c>
      <c r="B31" s="6" t="s">
        <v>54</v>
      </c>
      <c r="C31" s="7">
        <v>1.29</v>
      </c>
      <c r="D31" s="7">
        <v>3.99</v>
      </c>
      <c r="E31" s="7">
        <v>5.89</v>
      </c>
      <c r="F31" s="7">
        <v>2.79</v>
      </c>
      <c r="G31" s="8">
        <v>1.99</v>
      </c>
      <c r="H31" s="7">
        <f t="shared" si="1"/>
        <v>3.19</v>
      </c>
      <c r="I31" s="12">
        <v>1.2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1"/>
    </row>
    <row r="32" ht="21.75" customHeight="1">
      <c r="A32" s="6" t="s">
        <v>58</v>
      </c>
      <c r="B32" s="6" t="s">
        <v>54</v>
      </c>
      <c r="C32" s="7">
        <v>1.09</v>
      </c>
      <c r="D32" s="7">
        <v>2.99</v>
      </c>
      <c r="E32" s="7">
        <v>1.49</v>
      </c>
      <c r="F32" s="7">
        <v>1.05</v>
      </c>
      <c r="G32" s="8">
        <v>1.99</v>
      </c>
      <c r="H32" s="7">
        <f t="shared" si="1"/>
        <v>1.722</v>
      </c>
      <c r="I32" s="12">
        <v>1.95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/>
    </row>
    <row r="33" ht="21.75" customHeight="1">
      <c r="A33" s="6" t="s">
        <v>59</v>
      </c>
      <c r="B33" s="6" t="s">
        <v>49</v>
      </c>
      <c r="C33" s="7">
        <v>5.89</v>
      </c>
      <c r="D33" s="7">
        <v>9.49</v>
      </c>
      <c r="E33" s="7">
        <v>3.29</v>
      </c>
      <c r="F33" s="7">
        <v>8.99</v>
      </c>
      <c r="G33" s="8">
        <v>5.99</v>
      </c>
      <c r="H33" s="7">
        <f t="shared" si="1"/>
        <v>6.73</v>
      </c>
      <c r="I33" s="12">
        <v>2.02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/>
    </row>
    <row r="34" ht="21.75" customHeight="1">
      <c r="A34" s="6" t="s">
        <v>60</v>
      </c>
      <c r="B34" s="6" t="s">
        <v>20</v>
      </c>
      <c r="C34" s="7">
        <v>1.59</v>
      </c>
      <c r="D34" s="7">
        <v>4.49</v>
      </c>
      <c r="E34" s="7">
        <v>2.49</v>
      </c>
      <c r="F34" s="7">
        <v>1.1</v>
      </c>
      <c r="G34" s="8">
        <v>2.79</v>
      </c>
      <c r="H34" s="7">
        <f t="shared" si="1"/>
        <v>2.492</v>
      </c>
      <c r="I34" s="12">
        <v>1.58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1"/>
    </row>
    <row r="35" ht="21.75" customHeight="1">
      <c r="A35" s="6"/>
      <c r="B35" s="6"/>
      <c r="C35" s="6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1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1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1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1"/>
    </row>
    <row r="39" ht="21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1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1"/>
    </row>
    <row r="4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1"/>
    </row>
    <row r="42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1"/>
    </row>
    <row r="43" ht="21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1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1"/>
    </row>
    <row r="45" ht="21.75" customHeight="1">
      <c r="A45" s="5"/>
      <c r="B45" s="5"/>
      <c r="C45" s="5"/>
      <c r="D45" s="5"/>
      <c r="E45" s="5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1"/>
    </row>
    <row r="46" ht="21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1"/>
    </row>
    <row r="47" ht="21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1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1"/>
    </row>
    <row r="49" ht="21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1"/>
    </row>
    <row r="50" ht="21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1"/>
    </row>
    <row r="51" ht="21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1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1"/>
    </row>
    <row r="53" ht="21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1"/>
    </row>
    <row r="54" ht="21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1"/>
    </row>
    <row r="55" ht="21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1"/>
    </row>
    <row r="56" ht="21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1"/>
    </row>
    <row r="57" ht="21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1"/>
    </row>
    <row r="58" ht="21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1"/>
    </row>
    <row r="59" ht="21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1"/>
    </row>
    <row r="60" ht="21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1"/>
    </row>
    <row r="61" ht="21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1"/>
    </row>
    <row r="62" ht="21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1"/>
    </row>
    <row r="63" ht="21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1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1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1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1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1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1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1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1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1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1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1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1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1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1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1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1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1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1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1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1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1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1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1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1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1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1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1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1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1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1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1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1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1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1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1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1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1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1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1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1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1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1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1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1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1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1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1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1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1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1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1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1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1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1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1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1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1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1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1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1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1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1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1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1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1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1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1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1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1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1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1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1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1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1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1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1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1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1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1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1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1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1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1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1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1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1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1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1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1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1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1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1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1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1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1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1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1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1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1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1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1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1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1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1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1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1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1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1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1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1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1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1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1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1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1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1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1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1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1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1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1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1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1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1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1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1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1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1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1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1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1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1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1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1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1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1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1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1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1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1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1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1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1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1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1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1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1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1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1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1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1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1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1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1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1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1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1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1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1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1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1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1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1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1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1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1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1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1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1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1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1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1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1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1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1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1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1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1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1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1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1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1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1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1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1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1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1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1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1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1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1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1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1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1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1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1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1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1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1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1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1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1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1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1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1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1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1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1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1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1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1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1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1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1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1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1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1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1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1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1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1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1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1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1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1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1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1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1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1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1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1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1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1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1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1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1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1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1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1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1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1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1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1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1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1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1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1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1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1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1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1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1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1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1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1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1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1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1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1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1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1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1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1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1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1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1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1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1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1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1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1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1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1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1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1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1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1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1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1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1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1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1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1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1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1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1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1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1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1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1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1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1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1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1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1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1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1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1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1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1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1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1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1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1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1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1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1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1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1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1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1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1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1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1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1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1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1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1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1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1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1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1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1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1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1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1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1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1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1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1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1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1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1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1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1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1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1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1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1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1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1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1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1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1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1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1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1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1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1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1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1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1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1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1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1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1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1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1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1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1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1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1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1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1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1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1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1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1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1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1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1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1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1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1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1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1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1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1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1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1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1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1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1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1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1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1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1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1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1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1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1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1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1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1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1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1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1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1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1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1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1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1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1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1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1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1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1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1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1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1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1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1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1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1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1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1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1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1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1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1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1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1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1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1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1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1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1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1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1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1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1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1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1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1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1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1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1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1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1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1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1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1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1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1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1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1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1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1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1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1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1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1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1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1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1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1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1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1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1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1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1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1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1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1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1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1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1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1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1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1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1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1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1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1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1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1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1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1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1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1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1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1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1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1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1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1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1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1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1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1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1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1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1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1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1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1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1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1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1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1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1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1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1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1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1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1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1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1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1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1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1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1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1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1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1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1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1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1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1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1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1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1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1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1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1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1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1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1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1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1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1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1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1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1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1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1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1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1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1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1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1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1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1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1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1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1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1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1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1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1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1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1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1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1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1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1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1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1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1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1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1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1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1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1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1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1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1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1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1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1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1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1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1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1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1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1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1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1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1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1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1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1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1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1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1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1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1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1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1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1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1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1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1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1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1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1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1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1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1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1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1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1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1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1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1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1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1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1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1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1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1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1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1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1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1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1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1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1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1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1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1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1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1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1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1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1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1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1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1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1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1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1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1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1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1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1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1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1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1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1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1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1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1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1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1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1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1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1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1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1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1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1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1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1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1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1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1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1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1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1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1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1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1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1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1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1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1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1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1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1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1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1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1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1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1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1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1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1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1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1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1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1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1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1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1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1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1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1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1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1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1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1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1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1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1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1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1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1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1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1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1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1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1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1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1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1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1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1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1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1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1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1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1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1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1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1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1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1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1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1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1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1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1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1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1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1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1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1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1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1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1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1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1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1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1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1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1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1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1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1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1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1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1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1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1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1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1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1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1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1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1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1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1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1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1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1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1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1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1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1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1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1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1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1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1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1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1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1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1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1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1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1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1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1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1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1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1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1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1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1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1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1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1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1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1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1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1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1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1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1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1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1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1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1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1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1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1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1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1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1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1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1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1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1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1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1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1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1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1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1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1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1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1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1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1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1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1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1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1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1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1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1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1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1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1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1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1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1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1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1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1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1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1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1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1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1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1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1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1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1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1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1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1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1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1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1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1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1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1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1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1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1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1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1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1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1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1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1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1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1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1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1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1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1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1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1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1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1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1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1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1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1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1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1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1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1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1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1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1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1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1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1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1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1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1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1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1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1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1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1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1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1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1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1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1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1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1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1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1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1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1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1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1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1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1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1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1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1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1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1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1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1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1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1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1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  <col customWidth="1" min="9" max="9" width="11.88"/>
  </cols>
  <sheetData>
    <row r="1" ht="21.75" customHeight="1">
      <c r="A1" s="4" t="s">
        <v>0</v>
      </c>
      <c r="B1" s="4" t="s">
        <v>1</v>
      </c>
      <c r="C1" s="4" t="s">
        <v>62</v>
      </c>
      <c r="D1" s="4" t="s">
        <v>68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1"/>
    </row>
    <row r="2" ht="21.75" customHeight="1">
      <c r="A2" s="6" t="s">
        <v>16</v>
      </c>
      <c r="B2" s="6" t="s">
        <v>17</v>
      </c>
      <c r="C2" s="7">
        <v>2.69</v>
      </c>
      <c r="D2" s="7">
        <v>6.49</v>
      </c>
      <c r="E2" s="7">
        <v>3.29</v>
      </c>
      <c r="F2" s="7">
        <v>2.59</v>
      </c>
      <c r="G2" s="8">
        <v>2.59</v>
      </c>
      <c r="H2" s="7">
        <f t="shared" ref="H2:H34" si="1">AVERAGE(C2:G2)</f>
        <v>3.53</v>
      </c>
      <c r="I2" s="12">
        <v>1.83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1"/>
    </row>
    <row r="3" ht="21.75" customHeight="1">
      <c r="A3" s="6" t="s">
        <v>19</v>
      </c>
      <c r="B3" s="6" t="s">
        <v>20</v>
      </c>
      <c r="C3" s="7">
        <v>2.09</v>
      </c>
      <c r="D3" s="7">
        <v>4.99</v>
      </c>
      <c r="E3" s="7">
        <v>1.49</v>
      </c>
      <c r="F3" s="7">
        <v>3.79</v>
      </c>
      <c r="G3" s="8">
        <v>3.09</v>
      </c>
      <c r="H3" s="9">
        <f t="shared" si="1"/>
        <v>3.09</v>
      </c>
      <c r="I3" s="12">
        <v>1.1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1"/>
    </row>
    <row r="4" ht="21.75" customHeight="1">
      <c r="A4" s="6" t="s">
        <v>21</v>
      </c>
      <c r="B4" s="6" t="s">
        <v>20</v>
      </c>
      <c r="C4" s="7">
        <v>0.85</v>
      </c>
      <c r="D4" s="7">
        <v>3.99</v>
      </c>
      <c r="E4" s="7">
        <v>0.79</v>
      </c>
      <c r="F4" s="7">
        <v>0.99</v>
      </c>
      <c r="G4" s="8">
        <v>1.59</v>
      </c>
      <c r="H4" s="7">
        <f t="shared" si="1"/>
        <v>1.642</v>
      </c>
      <c r="I4" s="12">
        <v>0.75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/>
    </row>
    <row r="5" ht="21.75" customHeight="1">
      <c r="A5" s="6" t="s">
        <v>22</v>
      </c>
      <c r="B5" s="6" t="s">
        <v>20</v>
      </c>
      <c r="C5" s="7">
        <v>2.89</v>
      </c>
      <c r="D5" s="7">
        <v>6.49</v>
      </c>
      <c r="E5" s="7">
        <v>3.89</v>
      </c>
      <c r="F5" s="7">
        <v>4.99</v>
      </c>
      <c r="G5" s="8">
        <v>4.59</v>
      </c>
      <c r="H5" s="7">
        <f t="shared" si="1"/>
        <v>4.57</v>
      </c>
      <c r="I5" s="12">
        <v>3.96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1"/>
    </row>
    <row r="6" ht="21.75" customHeight="1">
      <c r="A6" s="6" t="s">
        <v>23</v>
      </c>
      <c r="B6" s="6" t="s">
        <v>24</v>
      </c>
      <c r="C6" s="7">
        <v>5.69</v>
      </c>
      <c r="D6" s="7">
        <v>10.49</v>
      </c>
      <c r="E6" s="7">
        <v>10.49</v>
      </c>
      <c r="F6" s="7">
        <v>8.29</v>
      </c>
      <c r="G6" s="8">
        <v>7.09</v>
      </c>
      <c r="H6" s="7">
        <f t="shared" si="1"/>
        <v>8.41</v>
      </c>
      <c r="I6" s="12">
        <v>9.05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1"/>
    </row>
    <row r="7" ht="21.75" customHeight="1">
      <c r="A7" s="6" t="s">
        <v>25</v>
      </c>
      <c r="B7" s="6" t="s">
        <v>24</v>
      </c>
      <c r="C7" s="7">
        <v>2.09</v>
      </c>
      <c r="D7" s="7">
        <v>3.49</v>
      </c>
      <c r="E7" s="7">
        <v>2.79</v>
      </c>
      <c r="F7" s="7">
        <v>3.69</v>
      </c>
      <c r="G7" s="8">
        <v>2.09</v>
      </c>
      <c r="H7" s="7">
        <f t="shared" si="1"/>
        <v>2.83</v>
      </c>
      <c r="I7" s="12">
        <v>1.31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ht="21.75" customHeight="1">
      <c r="A8" s="6" t="s">
        <v>26</v>
      </c>
      <c r="B8" s="6" t="s">
        <v>24</v>
      </c>
      <c r="C8" s="7">
        <v>3.49</v>
      </c>
      <c r="D8" s="7">
        <v>5.39</v>
      </c>
      <c r="E8" s="7">
        <v>5.29</v>
      </c>
      <c r="F8" s="7">
        <v>5.59</v>
      </c>
      <c r="G8" s="8">
        <v>4.09</v>
      </c>
      <c r="H8" s="7">
        <f t="shared" si="1"/>
        <v>4.77</v>
      </c>
      <c r="I8" s="12">
        <v>4.87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ht="21.75" customHeight="1">
      <c r="A9" s="6" t="s">
        <v>27</v>
      </c>
      <c r="B9" s="6" t="s">
        <v>28</v>
      </c>
      <c r="C9" s="7">
        <v>1.19</v>
      </c>
      <c r="D9" s="7">
        <v>3.49</v>
      </c>
      <c r="E9" s="7">
        <v>5.69</v>
      </c>
      <c r="F9" s="7">
        <v>2.49</v>
      </c>
      <c r="G9" s="8">
        <v>2.59</v>
      </c>
      <c r="H9" s="7">
        <f t="shared" si="1"/>
        <v>3.09</v>
      </c>
      <c r="I9" s="12">
        <v>1.3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ht="21.75" customHeight="1">
      <c r="A10" s="6" t="s">
        <v>29</v>
      </c>
      <c r="B10" s="6" t="s">
        <v>28</v>
      </c>
      <c r="C10" s="7">
        <v>1.09</v>
      </c>
      <c r="D10" s="7">
        <v>3.49</v>
      </c>
      <c r="E10" s="7">
        <v>3.19</v>
      </c>
      <c r="F10" s="7">
        <v>2.49</v>
      </c>
      <c r="G10" s="8">
        <v>5.09</v>
      </c>
      <c r="H10" s="7">
        <f t="shared" si="1"/>
        <v>3.07</v>
      </c>
      <c r="I10" s="12">
        <v>2.29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ht="21.75" customHeight="1">
      <c r="A11" s="6" t="s">
        <v>30</v>
      </c>
      <c r="B11" s="6" t="s">
        <v>28</v>
      </c>
      <c r="C11" s="7">
        <v>10.59</v>
      </c>
      <c r="D11" s="7">
        <v>9.99</v>
      </c>
      <c r="E11" s="7">
        <v>6.89</v>
      </c>
      <c r="F11" s="7">
        <v>3.89</v>
      </c>
      <c r="G11" s="8">
        <v>10.09</v>
      </c>
      <c r="H11" s="7">
        <f t="shared" si="1"/>
        <v>8.29</v>
      </c>
      <c r="I11" s="12">
        <v>5.08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ht="21.75" customHeight="1">
      <c r="A12" s="6" t="s">
        <v>31</v>
      </c>
      <c r="B12" s="6" t="s">
        <v>28</v>
      </c>
      <c r="C12" s="7">
        <v>1.99</v>
      </c>
      <c r="D12" s="7">
        <v>3.99</v>
      </c>
      <c r="E12" s="7">
        <v>2.49</v>
      </c>
      <c r="F12" s="7">
        <v>2.0</v>
      </c>
      <c r="G12" s="8">
        <v>1.29</v>
      </c>
      <c r="H12" s="7">
        <f t="shared" si="1"/>
        <v>2.352</v>
      </c>
      <c r="I12" s="12">
        <v>1.71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ht="21.75" customHeight="1">
      <c r="A13" s="6" t="s">
        <v>32</v>
      </c>
      <c r="B13" s="6" t="s">
        <v>33</v>
      </c>
      <c r="C13" s="7">
        <v>3.69</v>
      </c>
      <c r="D13" s="7">
        <v>6.29</v>
      </c>
      <c r="E13" s="7">
        <v>4.79</v>
      </c>
      <c r="F13" s="7">
        <v>5.39</v>
      </c>
      <c r="G13" s="8">
        <v>4.09</v>
      </c>
      <c r="H13" s="7">
        <f t="shared" si="1"/>
        <v>4.85</v>
      </c>
      <c r="I13" s="12">
        <v>4.05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ht="21.75" customHeight="1">
      <c r="A14" s="6" t="s">
        <v>34</v>
      </c>
      <c r="B14" s="6" t="s">
        <v>33</v>
      </c>
      <c r="C14" s="7">
        <v>2.09</v>
      </c>
      <c r="D14" s="7">
        <v>3.79</v>
      </c>
      <c r="E14" s="7">
        <v>3.79</v>
      </c>
      <c r="F14" s="7">
        <v>5.79</v>
      </c>
      <c r="G14" s="8">
        <v>3.09</v>
      </c>
      <c r="H14" s="7">
        <f t="shared" si="1"/>
        <v>3.71</v>
      </c>
      <c r="I14" s="12">
        <v>2.71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ht="21.75" customHeight="1">
      <c r="A15" s="6" t="s">
        <v>35</v>
      </c>
      <c r="B15" s="6" t="s">
        <v>33</v>
      </c>
      <c r="C15" s="7">
        <v>3.19</v>
      </c>
      <c r="D15" s="7">
        <v>3.7</v>
      </c>
      <c r="E15" s="7">
        <v>9.19</v>
      </c>
      <c r="F15" s="7">
        <v>4.49</v>
      </c>
      <c r="G15" s="8">
        <v>4.09</v>
      </c>
      <c r="H15" s="7">
        <f t="shared" si="1"/>
        <v>4.932</v>
      </c>
      <c r="I15" s="12">
        <v>4.38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1"/>
    </row>
    <row r="16" ht="21.75" customHeight="1">
      <c r="A16" s="6" t="s">
        <v>36</v>
      </c>
      <c r="B16" s="6" t="s">
        <v>33</v>
      </c>
      <c r="C16" s="7">
        <v>1.79</v>
      </c>
      <c r="D16" s="7">
        <v>4.99</v>
      </c>
      <c r="E16" s="7">
        <v>8.49</v>
      </c>
      <c r="F16" s="7">
        <v>2.0</v>
      </c>
      <c r="G16" s="8">
        <v>4.89</v>
      </c>
      <c r="H16" s="7">
        <f t="shared" si="1"/>
        <v>4.432</v>
      </c>
      <c r="I16" s="12">
        <v>5.98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1"/>
    </row>
    <row r="17" ht="21.75" customHeight="1">
      <c r="A17" s="6" t="s">
        <v>37</v>
      </c>
      <c r="B17" s="6" t="s">
        <v>33</v>
      </c>
      <c r="C17" s="7">
        <v>3.39</v>
      </c>
      <c r="D17" s="7">
        <v>1.69</v>
      </c>
      <c r="E17" s="7">
        <v>1.69</v>
      </c>
      <c r="F17" s="7">
        <v>1.79</v>
      </c>
      <c r="G17" s="8">
        <v>1.29</v>
      </c>
      <c r="H17" s="9">
        <f t="shared" si="1"/>
        <v>1.97</v>
      </c>
      <c r="I17" s="12">
        <v>1.52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1"/>
    </row>
    <row r="18" ht="21.75" customHeight="1">
      <c r="A18" s="6" t="s">
        <v>38</v>
      </c>
      <c r="B18" s="6" t="s">
        <v>39</v>
      </c>
      <c r="C18" s="7">
        <v>2.09</v>
      </c>
      <c r="D18" s="7">
        <v>4.39</v>
      </c>
      <c r="E18" s="7">
        <v>8.09</v>
      </c>
      <c r="F18" s="7">
        <v>4.29</v>
      </c>
      <c r="G18" s="8">
        <v>2.89</v>
      </c>
      <c r="H18" s="7">
        <f t="shared" si="1"/>
        <v>4.35</v>
      </c>
      <c r="I18" s="12">
        <v>3.99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1"/>
    </row>
    <row r="19" ht="21.75" customHeight="1">
      <c r="A19" s="6" t="s">
        <v>40</v>
      </c>
      <c r="B19" s="6" t="s">
        <v>41</v>
      </c>
      <c r="C19" s="7">
        <v>2.29</v>
      </c>
      <c r="D19" s="7">
        <v>4.99</v>
      </c>
      <c r="E19" s="7">
        <v>3.29</v>
      </c>
      <c r="F19" s="7">
        <v>4.99</v>
      </c>
      <c r="G19" s="8">
        <v>1.49</v>
      </c>
      <c r="H19" s="7">
        <f t="shared" si="1"/>
        <v>3.41</v>
      </c>
      <c r="I19" s="12">
        <v>1.32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1"/>
    </row>
    <row r="20" ht="21.75" customHeight="1">
      <c r="A20" s="6" t="s">
        <v>42</v>
      </c>
      <c r="B20" s="6" t="s">
        <v>41</v>
      </c>
      <c r="C20" s="7">
        <v>0.73</v>
      </c>
      <c r="D20" s="7">
        <v>2.99</v>
      </c>
      <c r="E20" s="7">
        <v>0.85</v>
      </c>
      <c r="F20" s="7">
        <v>0.64</v>
      </c>
      <c r="G20" s="8">
        <v>0.25</v>
      </c>
      <c r="H20" s="7">
        <f t="shared" si="1"/>
        <v>1.092</v>
      </c>
      <c r="I20" s="12">
        <v>0.66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1"/>
    </row>
    <row r="21" ht="21.75" customHeight="1">
      <c r="A21" s="6" t="s">
        <v>43</v>
      </c>
      <c r="B21" s="6" t="s">
        <v>41</v>
      </c>
      <c r="C21" s="7">
        <v>1.29</v>
      </c>
      <c r="D21" s="7">
        <v>1.49</v>
      </c>
      <c r="E21" s="7">
        <v>2.59</v>
      </c>
      <c r="F21" s="7">
        <v>1.5</v>
      </c>
      <c r="G21" s="8">
        <v>1.29</v>
      </c>
      <c r="H21" s="7">
        <f t="shared" si="1"/>
        <v>1.632</v>
      </c>
      <c r="I21" s="12">
        <v>1.57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1"/>
    </row>
    <row r="22" ht="21.75" customHeight="1">
      <c r="A22" s="6" t="s">
        <v>44</v>
      </c>
      <c r="B22" s="6" t="s">
        <v>45</v>
      </c>
      <c r="C22" s="7">
        <v>1.03</v>
      </c>
      <c r="D22" s="7">
        <v>4.99</v>
      </c>
      <c r="E22" s="7">
        <v>4.09</v>
      </c>
      <c r="F22" s="7">
        <v>1.5</v>
      </c>
      <c r="G22" s="8">
        <v>1.99</v>
      </c>
      <c r="H22" s="9">
        <f t="shared" si="1"/>
        <v>2.72</v>
      </c>
      <c r="I22" s="12">
        <v>1.08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1"/>
    </row>
    <row r="23" ht="21.75" customHeight="1">
      <c r="A23" s="6" t="s">
        <v>46</v>
      </c>
      <c r="B23" s="6" t="s">
        <v>45</v>
      </c>
      <c r="C23" s="7">
        <v>1.79</v>
      </c>
      <c r="D23" s="7">
        <v>2.29</v>
      </c>
      <c r="E23" s="7">
        <v>2.19</v>
      </c>
      <c r="F23" s="7">
        <v>1.99</v>
      </c>
      <c r="G23" s="8">
        <v>1.59</v>
      </c>
      <c r="H23" s="9">
        <f t="shared" si="1"/>
        <v>1.97</v>
      </c>
      <c r="I23" s="12">
        <v>1.31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1"/>
    </row>
    <row r="24" ht="21.75" customHeight="1">
      <c r="A24" s="6" t="s">
        <v>47</v>
      </c>
      <c r="B24" s="6" t="s">
        <v>45</v>
      </c>
      <c r="C24" s="7">
        <v>2.49</v>
      </c>
      <c r="D24" s="7">
        <v>6.49</v>
      </c>
      <c r="E24" s="7">
        <v>4.79</v>
      </c>
      <c r="F24" s="7">
        <v>4.99</v>
      </c>
      <c r="G24" s="8">
        <v>2.09</v>
      </c>
      <c r="H24" s="7">
        <f t="shared" si="1"/>
        <v>4.17</v>
      </c>
      <c r="I24" s="12">
        <v>3.32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1"/>
    </row>
    <row r="25" ht="21.75" customHeight="1">
      <c r="A25" s="6" t="s">
        <v>48</v>
      </c>
      <c r="B25" s="6" t="s">
        <v>49</v>
      </c>
      <c r="C25" s="7">
        <v>3.99</v>
      </c>
      <c r="D25" s="7">
        <v>7.49</v>
      </c>
      <c r="E25" s="7">
        <v>5.29</v>
      </c>
      <c r="F25" s="7">
        <v>5.49</v>
      </c>
      <c r="G25" s="8">
        <v>6.09</v>
      </c>
      <c r="H25" s="7">
        <f t="shared" si="1"/>
        <v>5.67</v>
      </c>
      <c r="I25" s="12">
        <v>4.17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1"/>
    </row>
    <row r="26" ht="21.75" customHeight="1">
      <c r="A26" s="6" t="s">
        <v>50</v>
      </c>
      <c r="B26" s="6" t="s">
        <v>49</v>
      </c>
      <c r="C26" s="7">
        <v>5.29</v>
      </c>
      <c r="D26" s="7">
        <v>8.39</v>
      </c>
      <c r="E26" s="7">
        <v>8.09</v>
      </c>
      <c r="F26" s="7">
        <v>5.49</v>
      </c>
      <c r="G26" s="8">
        <v>7.59</v>
      </c>
      <c r="H26" s="7">
        <f t="shared" si="1"/>
        <v>6.97</v>
      </c>
      <c r="I26" s="12">
        <v>6.52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1"/>
    </row>
    <row r="27" ht="21.75" customHeight="1">
      <c r="A27" s="6" t="s">
        <v>51</v>
      </c>
      <c r="B27" s="6" t="s">
        <v>52</v>
      </c>
      <c r="C27" s="7">
        <v>1.99</v>
      </c>
      <c r="D27" s="7">
        <v>2.99</v>
      </c>
      <c r="E27" s="7">
        <v>4.99</v>
      </c>
      <c r="F27" s="7">
        <v>1.49</v>
      </c>
      <c r="G27" s="8">
        <v>2.09</v>
      </c>
      <c r="H27" s="7">
        <f t="shared" si="1"/>
        <v>2.71</v>
      </c>
      <c r="I27" s="12">
        <v>3.17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1"/>
    </row>
    <row r="28" ht="21.75" customHeight="1">
      <c r="A28" s="6" t="s">
        <v>53</v>
      </c>
      <c r="B28" s="6" t="s">
        <v>54</v>
      </c>
      <c r="C28" s="7">
        <v>3.19</v>
      </c>
      <c r="D28" s="7">
        <v>6.99</v>
      </c>
      <c r="E28" s="7">
        <v>4.49</v>
      </c>
      <c r="F28" s="7">
        <v>2.49</v>
      </c>
      <c r="G28" s="8">
        <v>2.59</v>
      </c>
      <c r="H28" s="7">
        <f t="shared" si="1"/>
        <v>3.95</v>
      </c>
      <c r="I28" s="12">
        <v>1.83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1"/>
    </row>
    <row r="29" ht="21.75" customHeight="1">
      <c r="A29" s="6" t="s">
        <v>55</v>
      </c>
      <c r="B29" s="6" t="s">
        <v>54</v>
      </c>
      <c r="C29" s="7">
        <v>0.41</v>
      </c>
      <c r="D29" s="7">
        <v>1.49</v>
      </c>
      <c r="E29" s="7">
        <v>0.95</v>
      </c>
      <c r="F29" s="7">
        <v>0.8</v>
      </c>
      <c r="G29" s="8">
        <v>0.89</v>
      </c>
      <c r="H29" s="7">
        <f t="shared" si="1"/>
        <v>0.908</v>
      </c>
      <c r="I29" s="12">
        <v>0.87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1"/>
    </row>
    <row r="30" ht="21.75" customHeight="1">
      <c r="A30" s="6" t="s">
        <v>56</v>
      </c>
      <c r="B30" s="6" t="s">
        <v>54</v>
      </c>
      <c r="C30" s="7">
        <v>1.1</v>
      </c>
      <c r="D30" s="7">
        <v>1.99</v>
      </c>
      <c r="E30" s="7">
        <v>0.95</v>
      </c>
      <c r="F30" s="7">
        <v>1.0</v>
      </c>
      <c r="G30" s="8">
        <v>3.89</v>
      </c>
      <c r="H30" s="7">
        <f t="shared" si="1"/>
        <v>1.786</v>
      </c>
      <c r="I30" s="12">
        <v>1.29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1"/>
    </row>
    <row r="31" ht="21.75" customHeight="1">
      <c r="A31" s="6" t="s">
        <v>57</v>
      </c>
      <c r="B31" s="6" t="s">
        <v>54</v>
      </c>
      <c r="C31" s="7">
        <v>1.25</v>
      </c>
      <c r="D31" s="7">
        <v>3.99</v>
      </c>
      <c r="E31" s="7">
        <v>5.69</v>
      </c>
      <c r="F31" s="7">
        <v>2.79</v>
      </c>
      <c r="G31" s="8">
        <v>2.09</v>
      </c>
      <c r="H31" s="7">
        <f t="shared" si="1"/>
        <v>3.162</v>
      </c>
      <c r="I31" s="12">
        <v>1.2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1"/>
    </row>
    <row r="32" ht="21.75" customHeight="1">
      <c r="A32" s="6" t="s">
        <v>58</v>
      </c>
      <c r="B32" s="6" t="s">
        <v>54</v>
      </c>
      <c r="C32" s="7">
        <v>1.05</v>
      </c>
      <c r="D32" s="7">
        <v>2.99</v>
      </c>
      <c r="E32" s="7">
        <v>1.39</v>
      </c>
      <c r="F32" s="7">
        <v>1.05</v>
      </c>
      <c r="G32" s="8">
        <v>2.09</v>
      </c>
      <c r="H32" s="7">
        <f t="shared" si="1"/>
        <v>1.714</v>
      </c>
      <c r="I32" s="12">
        <v>1.95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/>
    </row>
    <row r="33" ht="21.75" customHeight="1">
      <c r="A33" s="6" t="s">
        <v>59</v>
      </c>
      <c r="B33" s="6" t="s">
        <v>49</v>
      </c>
      <c r="C33" s="7">
        <v>5.79</v>
      </c>
      <c r="D33" s="7">
        <v>9.49</v>
      </c>
      <c r="E33" s="7">
        <v>3.39</v>
      </c>
      <c r="F33" s="7">
        <v>8.99</v>
      </c>
      <c r="G33" s="8">
        <v>6.09</v>
      </c>
      <c r="H33" s="7">
        <f t="shared" si="1"/>
        <v>6.75</v>
      </c>
      <c r="I33" s="12">
        <v>2.02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/>
    </row>
    <row r="34" ht="21.75" customHeight="1">
      <c r="A34" s="6" t="s">
        <v>60</v>
      </c>
      <c r="B34" s="6" t="s">
        <v>20</v>
      </c>
      <c r="C34" s="7">
        <v>1.49</v>
      </c>
      <c r="D34" s="7">
        <v>4.49</v>
      </c>
      <c r="E34" s="7">
        <v>2.39</v>
      </c>
      <c r="F34" s="7">
        <v>1.1</v>
      </c>
      <c r="G34" s="8">
        <v>2.89</v>
      </c>
      <c r="H34" s="7">
        <f t="shared" si="1"/>
        <v>2.472</v>
      </c>
      <c r="I34" s="12">
        <v>1.58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1"/>
    </row>
    <row r="35" ht="21.75" customHeight="1">
      <c r="A35" s="6"/>
      <c r="B35" s="6"/>
      <c r="C35" s="6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1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1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1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1"/>
    </row>
    <row r="39" ht="21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1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1"/>
    </row>
    <row r="4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1"/>
    </row>
    <row r="42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1"/>
    </row>
    <row r="43" ht="21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1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1"/>
    </row>
    <row r="45" ht="21.75" customHeight="1">
      <c r="A45" s="5"/>
      <c r="B45" s="5"/>
      <c r="C45" s="5"/>
      <c r="D45" s="5"/>
      <c r="E45" s="5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1"/>
    </row>
    <row r="46" ht="21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1"/>
    </row>
    <row r="47" ht="21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1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1"/>
    </row>
    <row r="49" ht="21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1"/>
    </row>
    <row r="50" ht="21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1"/>
    </row>
    <row r="51" ht="21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1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1"/>
    </row>
    <row r="53" ht="21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1"/>
    </row>
    <row r="54" ht="21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1"/>
    </row>
    <row r="55" ht="21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1"/>
    </row>
    <row r="56" ht="21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1"/>
    </row>
    <row r="57" ht="21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1"/>
    </row>
    <row r="58" ht="21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1"/>
    </row>
    <row r="59" ht="21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1"/>
    </row>
    <row r="60" ht="21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1"/>
    </row>
    <row r="61" ht="21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1"/>
    </row>
    <row r="62" ht="21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1"/>
    </row>
    <row r="63" ht="21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1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1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1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1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1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1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1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1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1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1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1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1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1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1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1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1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1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1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1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1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1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1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1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1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1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1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1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1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1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1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1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1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1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1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1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1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1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1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1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1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1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1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1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1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1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1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1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1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1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1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1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1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1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1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1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1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1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1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1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1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1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1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1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1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1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1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1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1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1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1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1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1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1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1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1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1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1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1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1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1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1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1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1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1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1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1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1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1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1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1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1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1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1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1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1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1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1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1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1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1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1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1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1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1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1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1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1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1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1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1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1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1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1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1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1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1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1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1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1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1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1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1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1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1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1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1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1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1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1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1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1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1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1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1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1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1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1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1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1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1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1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1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1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1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1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1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1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1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1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1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1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1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1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1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1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1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1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1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1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1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1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1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1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1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1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1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1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1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1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1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1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1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1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1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1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1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1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1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1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1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1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1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1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1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1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1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1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1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1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1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1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1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1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1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1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1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1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1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1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1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1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1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1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1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1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1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1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1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1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1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1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1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1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1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1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1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1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1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1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1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1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1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1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1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1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1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1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1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1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1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1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1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1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1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1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1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1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1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1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1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1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1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1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1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1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1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1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1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1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1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1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1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1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1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1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1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1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1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1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1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1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1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1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1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1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1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1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1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1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1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1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1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1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1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1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1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1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1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1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1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1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1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1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1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1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1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1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1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1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1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1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1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1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1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1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1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1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1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1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1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1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1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1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1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1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1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1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1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1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1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1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1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1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1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1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1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1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1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1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1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1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1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1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1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1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1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1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1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1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1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1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1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1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1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1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1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1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1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1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1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1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1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1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1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1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1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1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1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1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1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1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1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1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1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1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1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1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1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1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1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1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1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1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1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1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1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1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1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1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1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1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1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1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1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1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1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1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1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1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1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1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1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1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1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1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1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1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1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1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1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1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1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1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1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1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1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1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1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1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1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1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1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1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1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1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1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1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1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1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1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1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1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1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1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1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1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1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1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1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1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1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1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1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1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1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1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1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1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1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1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1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1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1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1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1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1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1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1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1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1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1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1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1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1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1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1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1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1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1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1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1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1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1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1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1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1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1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1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1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1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1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1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1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1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1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1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1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1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1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1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1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1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1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1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1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1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1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1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1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1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1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1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1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1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1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1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1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1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1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1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1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1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1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1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1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1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1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1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1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1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1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1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1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1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1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1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1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1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1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1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1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1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1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1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1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1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1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1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1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1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1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1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1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1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1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1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1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1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1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1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1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1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1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1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1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1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1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1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1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1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1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1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1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1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1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1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1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1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1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1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1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1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1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1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1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1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1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1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1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1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1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1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1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1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1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1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1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1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1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1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1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1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1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1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1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1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1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1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1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1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1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1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1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1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1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1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1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1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1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1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1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1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1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1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1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1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1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1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1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1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1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1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1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1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1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1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1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1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1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1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1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1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1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1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1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1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1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1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1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1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1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1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1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1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1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1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1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1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1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1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1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1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1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1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1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1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1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1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1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1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1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1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1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1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1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1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1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1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1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1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1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1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1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1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1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1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1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1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1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1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1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1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1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1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1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1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1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1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1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1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1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1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1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1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1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1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1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1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1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1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1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1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1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1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1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1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1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1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1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1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1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1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1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1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1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1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1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1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1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1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1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1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1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1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1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1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1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1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1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1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1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1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1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1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1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1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1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1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1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1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1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1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1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1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1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1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1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1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1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1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1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1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1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1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1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1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1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1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1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1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1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1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1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1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1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1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1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1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1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1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1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1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1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1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1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1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1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1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1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1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1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1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1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1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1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1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1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1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1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1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1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1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1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1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1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1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1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1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1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1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1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1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1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1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1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1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1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1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1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1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1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1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1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1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1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1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1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1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1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1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1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1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1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1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1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1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1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1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1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1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1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1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1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1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1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1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1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1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1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1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1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1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1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1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1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1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1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1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1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1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1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1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1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1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1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1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1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1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1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1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1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1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1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1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1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1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1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1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1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1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1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1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1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1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1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1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1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1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1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1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1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1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1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1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1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1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1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1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1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1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1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1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1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1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1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1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1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1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1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1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1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1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1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1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1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1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1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1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1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1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1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1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1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1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1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1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1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1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1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1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1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1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1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1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1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1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1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1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1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1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1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1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1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1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1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  <col customWidth="1" min="9" max="9" width="11.88"/>
  </cols>
  <sheetData>
    <row r="1" ht="21.75" customHeight="1">
      <c r="A1" s="4" t="s">
        <v>0</v>
      </c>
      <c r="B1" s="4" t="s">
        <v>1</v>
      </c>
      <c r="C1" s="4" t="s">
        <v>62</v>
      </c>
      <c r="D1" s="4" t="s">
        <v>68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1"/>
    </row>
    <row r="2" ht="21.75" customHeight="1">
      <c r="A2" s="6" t="s">
        <v>16</v>
      </c>
      <c r="B2" s="6" t="s">
        <v>17</v>
      </c>
      <c r="C2" s="7">
        <v>4.39</v>
      </c>
      <c r="D2" s="13">
        <v>6.49</v>
      </c>
      <c r="E2" s="7">
        <v>5.39</v>
      </c>
      <c r="F2" s="7">
        <v>4.99</v>
      </c>
      <c r="G2" s="7">
        <v>2.19</v>
      </c>
      <c r="H2" s="7">
        <f t="shared" ref="H2:H34" si="1">AVERAGE(C2:G2)</f>
        <v>4.69</v>
      </c>
      <c r="I2" s="12">
        <v>1.83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1"/>
    </row>
    <row r="3" ht="21.75" customHeight="1">
      <c r="A3" s="6" t="s">
        <v>19</v>
      </c>
      <c r="B3" s="6" t="s">
        <v>20</v>
      </c>
      <c r="C3" s="7">
        <v>2.15</v>
      </c>
      <c r="D3" s="13">
        <v>4.79</v>
      </c>
      <c r="E3" s="7">
        <v>3.5</v>
      </c>
      <c r="F3" s="7">
        <v>3.0</v>
      </c>
      <c r="G3" s="7">
        <v>1.29</v>
      </c>
      <c r="H3" s="7">
        <f t="shared" si="1"/>
        <v>2.946</v>
      </c>
      <c r="I3" s="12">
        <v>1.1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1"/>
    </row>
    <row r="4" ht="21.75" customHeight="1">
      <c r="A4" s="6" t="s">
        <v>21</v>
      </c>
      <c r="B4" s="6" t="s">
        <v>20</v>
      </c>
      <c r="C4" s="7">
        <v>0.75</v>
      </c>
      <c r="D4" s="13">
        <v>3.49</v>
      </c>
      <c r="E4" s="7">
        <v>2.5</v>
      </c>
      <c r="F4" s="7">
        <v>1.99</v>
      </c>
      <c r="G4" s="7">
        <v>2.19</v>
      </c>
      <c r="H4" s="7">
        <f t="shared" si="1"/>
        <v>2.184</v>
      </c>
      <c r="I4" s="12">
        <v>0.75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/>
    </row>
    <row r="5" ht="21.75" customHeight="1">
      <c r="A5" s="6" t="s">
        <v>22</v>
      </c>
      <c r="B5" s="6" t="s">
        <v>20</v>
      </c>
      <c r="C5" s="7">
        <v>3.09</v>
      </c>
      <c r="D5" s="13">
        <v>6.29</v>
      </c>
      <c r="E5" s="7">
        <v>3.49</v>
      </c>
      <c r="F5" s="7">
        <v>3.49</v>
      </c>
      <c r="G5" s="7">
        <v>8.69</v>
      </c>
      <c r="H5" s="7">
        <f t="shared" si="1"/>
        <v>5.01</v>
      </c>
      <c r="I5" s="12">
        <v>3.96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1"/>
    </row>
    <row r="6" ht="21.75" customHeight="1">
      <c r="A6" s="6" t="s">
        <v>23</v>
      </c>
      <c r="B6" s="6" t="s">
        <v>24</v>
      </c>
      <c r="C6" s="7">
        <v>6.89</v>
      </c>
      <c r="D6" s="13">
        <v>8.99</v>
      </c>
      <c r="E6" s="7">
        <v>7.99</v>
      </c>
      <c r="F6" s="7">
        <v>6.49</v>
      </c>
      <c r="G6" s="7">
        <v>5.79</v>
      </c>
      <c r="H6" s="7">
        <f t="shared" si="1"/>
        <v>7.23</v>
      </c>
      <c r="I6" s="12">
        <v>9.05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1"/>
    </row>
    <row r="7" ht="21.75" customHeight="1">
      <c r="A7" s="6" t="s">
        <v>25</v>
      </c>
      <c r="B7" s="6" t="s">
        <v>24</v>
      </c>
      <c r="C7" s="7">
        <v>2.09</v>
      </c>
      <c r="D7" s="13">
        <v>1.29</v>
      </c>
      <c r="E7" s="7">
        <v>1.18</v>
      </c>
      <c r="F7" s="7">
        <v>2.49</v>
      </c>
      <c r="G7" s="7">
        <v>1.89</v>
      </c>
      <c r="H7" s="7">
        <f t="shared" si="1"/>
        <v>1.788</v>
      </c>
      <c r="I7" s="12">
        <v>1.31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ht="21.75" customHeight="1">
      <c r="A8" s="6" t="s">
        <v>26</v>
      </c>
      <c r="B8" s="6" t="s">
        <v>24</v>
      </c>
      <c r="C8" s="7">
        <v>3.39</v>
      </c>
      <c r="D8" s="13">
        <v>5.49</v>
      </c>
      <c r="E8" s="7">
        <v>3.99</v>
      </c>
      <c r="F8" s="7">
        <v>4.99</v>
      </c>
      <c r="G8" s="7">
        <v>4.09</v>
      </c>
      <c r="H8" s="7">
        <f t="shared" si="1"/>
        <v>4.39</v>
      </c>
      <c r="I8" s="12">
        <v>4.87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ht="21.75" customHeight="1">
      <c r="A9" s="6" t="s">
        <v>27</v>
      </c>
      <c r="B9" s="6" t="s">
        <v>28</v>
      </c>
      <c r="C9" s="7">
        <v>1.19</v>
      </c>
      <c r="D9" s="13">
        <v>3.29</v>
      </c>
      <c r="E9" s="7">
        <v>3.79</v>
      </c>
      <c r="F9" s="7">
        <v>1.79</v>
      </c>
      <c r="G9" s="7">
        <v>2.09</v>
      </c>
      <c r="H9" s="7">
        <f t="shared" si="1"/>
        <v>2.43</v>
      </c>
      <c r="I9" s="12">
        <v>1.3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ht="21.75" customHeight="1">
      <c r="A10" s="6" t="s">
        <v>29</v>
      </c>
      <c r="B10" s="6" t="s">
        <v>28</v>
      </c>
      <c r="C10" s="7">
        <v>1.65</v>
      </c>
      <c r="D10" s="13">
        <v>3.29</v>
      </c>
      <c r="E10" s="7">
        <v>6.99</v>
      </c>
      <c r="F10" s="7">
        <v>3.49</v>
      </c>
      <c r="G10" s="7">
        <v>4.79</v>
      </c>
      <c r="H10" s="7">
        <f t="shared" si="1"/>
        <v>4.042</v>
      </c>
      <c r="I10" s="12">
        <v>2.29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ht="21.75" customHeight="1">
      <c r="A11" s="6" t="s">
        <v>30</v>
      </c>
      <c r="B11" s="6" t="s">
        <v>28</v>
      </c>
      <c r="C11" s="7">
        <v>3.45</v>
      </c>
      <c r="D11" s="13">
        <v>4.39</v>
      </c>
      <c r="E11" s="7">
        <v>4.49</v>
      </c>
      <c r="F11" s="7">
        <v>3.29</v>
      </c>
      <c r="G11" s="7">
        <v>14.99</v>
      </c>
      <c r="H11" s="7">
        <f t="shared" si="1"/>
        <v>6.122</v>
      </c>
      <c r="I11" s="12">
        <v>5.08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ht="21.75" customHeight="1">
      <c r="A12" s="6" t="s">
        <v>31</v>
      </c>
      <c r="B12" s="6" t="s">
        <v>28</v>
      </c>
      <c r="C12" s="7">
        <v>2.09</v>
      </c>
      <c r="D12" s="13">
        <v>1.99</v>
      </c>
      <c r="E12" s="7">
        <v>1.67</v>
      </c>
      <c r="F12" s="7">
        <v>1.99</v>
      </c>
      <c r="G12" s="7">
        <v>3.29</v>
      </c>
      <c r="H12" s="7">
        <f t="shared" si="1"/>
        <v>2.206</v>
      </c>
      <c r="I12" s="12">
        <v>1.71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ht="21.75" customHeight="1">
      <c r="A13" s="6" t="s">
        <v>32</v>
      </c>
      <c r="B13" s="6" t="s">
        <v>33</v>
      </c>
      <c r="C13" s="7">
        <v>4.25</v>
      </c>
      <c r="D13" s="14">
        <v>7.99</v>
      </c>
      <c r="E13" s="7">
        <v>7.99</v>
      </c>
      <c r="F13" s="7">
        <v>7.49</v>
      </c>
      <c r="G13" s="7">
        <v>11.49</v>
      </c>
      <c r="H13" s="7">
        <f t="shared" si="1"/>
        <v>7.842</v>
      </c>
      <c r="I13" s="12">
        <v>4.05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ht="21.75" customHeight="1">
      <c r="A14" s="6" t="s">
        <v>34</v>
      </c>
      <c r="B14" s="6" t="s">
        <v>33</v>
      </c>
      <c r="C14" s="7">
        <v>4.69</v>
      </c>
      <c r="D14" s="13">
        <v>6.19</v>
      </c>
      <c r="E14" s="7">
        <v>3.99</v>
      </c>
      <c r="F14" s="7">
        <v>3.29</v>
      </c>
      <c r="G14" s="7">
        <v>6.79</v>
      </c>
      <c r="H14" s="7">
        <f t="shared" si="1"/>
        <v>4.99</v>
      </c>
      <c r="I14" s="12">
        <v>2.71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ht="21.75" customHeight="1">
      <c r="A15" s="6" t="s">
        <v>35</v>
      </c>
      <c r="B15" s="6" t="s">
        <v>33</v>
      </c>
      <c r="C15" s="7">
        <v>2.99</v>
      </c>
      <c r="D15" s="13">
        <v>7.19</v>
      </c>
      <c r="E15" s="7">
        <v>6.99</v>
      </c>
      <c r="F15" s="7">
        <v>5.49</v>
      </c>
      <c r="G15" s="7">
        <v>2.79</v>
      </c>
      <c r="H15" s="7">
        <f t="shared" si="1"/>
        <v>5.09</v>
      </c>
      <c r="I15" s="12">
        <v>4.38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1"/>
    </row>
    <row r="16" ht="21.75" customHeight="1">
      <c r="A16" s="6" t="s">
        <v>36</v>
      </c>
      <c r="B16" s="6" t="s">
        <v>33</v>
      </c>
      <c r="C16" s="7">
        <v>3.65</v>
      </c>
      <c r="D16" s="13">
        <v>4.79</v>
      </c>
      <c r="E16" s="7">
        <v>3.5</v>
      </c>
      <c r="F16" s="7">
        <v>3.99</v>
      </c>
      <c r="G16" s="7">
        <v>4.79</v>
      </c>
      <c r="H16" s="7">
        <f t="shared" si="1"/>
        <v>4.144</v>
      </c>
      <c r="I16" s="12">
        <v>5.98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1"/>
    </row>
    <row r="17" ht="21.75" customHeight="1">
      <c r="A17" s="6" t="s">
        <v>37</v>
      </c>
      <c r="B17" s="6" t="s">
        <v>33</v>
      </c>
      <c r="C17" s="7">
        <v>1.55</v>
      </c>
      <c r="D17" s="13">
        <v>1.89</v>
      </c>
      <c r="E17" s="7">
        <v>2.59</v>
      </c>
      <c r="F17" s="7">
        <v>1.79</v>
      </c>
      <c r="G17" s="7">
        <v>1.19</v>
      </c>
      <c r="H17" s="7">
        <f t="shared" si="1"/>
        <v>1.802</v>
      </c>
      <c r="I17" s="12">
        <v>1.52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1"/>
    </row>
    <row r="18" ht="21.75" customHeight="1">
      <c r="A18" s="6" t="s">
        <v>38</v>
      </c>
      <c r="B18" s="6" t="s">
        <v>39</v>
      </c>
      <c r="C18" s="7">
        <v>3.95</v>
      </c>
      <c r="D18" s="13">
        <v>4.79</v>
      </c>
      <c r="E18" s="7">
        <v>7.59</v>
      </c>
      <c r="F18" s="7">
        <v>3.39</v>
      </c>
      <c r="G18" s="7">
        <v>4.69</v>
      </c>
      <c r="H18" s="7">
        <f t="shared" si="1"/>
        <v>4.882</v>
      </c>
      <c r="I18" s="12">
        <v>3.99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1"/>
    </row>
    <row r="19" ht="21.75" customHeight="1">
      <c r="A19" s="6" t="s">
        <v>40</v>
      </c>
      <c r="B19" s="6" t="s">
        <v>41</v>
      </c>
      <c r="C19" s="7">
        <v>2.55</v>
      </c>
      <c r="D19" s="13">
        <v>2.79</v>
      </c>
      <c r="E19" s="7">
        <v>1.99</v>
      </c>
      <c r="F19" s="7">
        <v>2.5</v>
      </c>
      <c r="G19" s="7">
        <v>2.29</v>
      </c>
      <c r="H19" s="7">
        <f t="shared" si="1"/>
        <v>2.424</v>
      </c>
      <c r="I19" s="12">
        <v>1.32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1"/>
    </row>
    <row r="20" ht="21.75" customHeight="1">
      <c r="A20" s="6" t="s">
        <v>42</v>
      </c>
      <c r="B20" s="6" t="s">
        <v>41</v>
      </c>
      <c r="C20" s="7">
        <v>1.46</v>
      </c>
      <c r="D20" s="13">
        <v>1.09</v>
      </c>
      <c r="E20" s="7">
        <v>1.99</v>
      </c>
      <c r="F20" s="7">
        <v>1.66</v>
      </c>
      <c r="G20" s="7">
        <v>0.59</v>
      </c>
      <c r="H20" s="7">
        <f t="shared" si="1"/>
        <v>1.358</v>
      </c>
      <c r="I20" s="12">
        <v>0.66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1"/>
    </row>
    <row r="21" ht="21.75" customHeight="1">
      <c r="A21" s="6" t="s">
        <v>43</v>
      </c>
      <c r="B21" s="6" t="s">
        <v>41</v>
      </c>
      <c r="C21" s="7">
        <v>3.59</v>
      </c>
      <c r="D21" s="13">
        <v>1.99</v>
      </c>
      <c r="E21" s="7">
        <v>5.0</v>
      </c>
      <c r="F21" s="7">
        <v>1.59</v>
      </c>
      <c r="G21" s="7">
        <v>1.19</v>
      </c>
      <c r="H21" s="7">
        <f t="shared" si="1"/>
        <v>2.672</v>
      </c>
      <c r="I21" s="12">
        <v>1.57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1"/>
    </row>
    <row r="22" ht="21.75" customHeight="1">
      <c r="A22" s="6" t="s">
        <v>44</v>
      </c>
      <c r="B22" s="6" t="s">
        <v>45</v>
      </c>
      <c r="C22" s="7">
        <v>2.35</v>
      </c>
      <c r="D22" s="13">
        <v>8.79</v>
      </c>
      <c r="E22" s="7">
        <v>5.69</v>
      </c>
      <c r="F22" s="7">
        <v>3.79</v>
      </c>
      <c r="G22" s="7">
        <v>4.99</v>
      </c>
      <c r="H22" s="7">
        <f t="shared" si="1"/>
        <v>5.122</v>
      </c>
      <c r="I22" s="12">
        <v>1.08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1"/>
    </row>
    <row r="23" ht="21.75" customHeight="1">
      <c r="A23" s="6" t="s">
        <v>46</v>
      </c>
      <c r="B23" s="6" t="s">
        <v>45</v>
      </c>
      <c r="C23" s="7">
        <v>2.09</v>
      </c>
      <c r="D23" s="13">
        <v>2.19</v>
      </c>
      <c r="E23" s="7">
        <v>2.49</v>
      </c>
      <c r="F23" s="7">
        <v>1.99</v>
      </c>
      <c r="G23" s="7">
        <v>0.89</v>
      </c>
      <c r="H23" s="7">
        <f t="shared" si="1"/>
        <v>1.93</v>
      </c>
      <c r="I23" s="12">
        <v>1.31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1"/>
    </row>
    <row r="24" ht="21.75" customHeight="1">
      <c r="A24" s="6" t="s">
        <v>47</v>
      </c>
      <c r="B24" s="6" t="s">
        <v>45</v>
      </c>
      <c r="C24" s="7">
        <v>3.85</v>
      </c>
      <c r="D24" s="13">
        <v>6.29</v>
      </c>
      <c r="E24" s="7">
        <v>5.99</v>
      </c>
      <c r="F24" s="7">
        <v>3.99</v>
      </c>
      <c r="G24" s="7">
        <v>2.59</v>
      </c>
      <c r="H24" s="7">
        <f t="shared" si="1"/>
        <v>4.542</v>
      </c>
      <c r="I24" s="12">
        <v>3.32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1"/>
    </row>
    <row r="25" ht="21.75" customHeight="1">
      <c r="A25" s="6" t="s">
        <v>48</v>
      </c>
      <c r="B25" s="6" t="s">
        <v>49</v>
      </c>
      <c r="C25" s="7">
        <v>3.39</v>
      </c>
      <c r="D25" s="13">
        <v>7.99</v>
      </c>
      <c r="E25" s="7">
        <v>6.99</v>
      </c>
      <c r="F25" s="7">
        <v>7.29</v>
      </c>
      <c r="G25" s="7">
        <v>4.29</v>
      </c>
      <c r="H25" s="7">
        <f t="shared" si="1"/>
        <v>5.99</v>
      </c>
      <c r="I25" s="12">
        <v>4.17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1"/>
    </row>
    <row r="26" ht="21.75" customHeight="1">
      <c r="A26" s="6" t="s">
        <v>50</v>
      </c>
      <c r="B26" s="6" t="s">
        <v>49</v>
      </c>
      <c r="C26" s="7">
        <v>6.59</v>
      </c>
      <c r="D26" s="13">
        <v>9.69</v>
      </c>
      <c r="E26" s="7">
        <v>8.29</v>
      </c>
      <c r="F26" s="7">
        <v>6.99</v>
      </c>
      <c r="G26" s="7">
        <v>6.29</v>
      </c>
      <c r="H26" s="7">
        <f t="shared" si="1"/>
        <v>7.57</v>
      </c>
      <c r="I26" s="12">
        <v>6.52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1"/>
    </row>
    <row r="27" ht="21.75" customHeight="1">
      <c r="A27" s="6" t="s">
        <v>51</v>
      </c>
      <c r="B27" s="6" t="s">
        <v>52</v>
      </c>
      <c r="C27" s="7">
        <v>1.49</v>
      </c>
      <c r="D27" s="13">
        <v>2.79</v>
      </c>
      <c r="E27" s="7">
        <v>2.0</v>
      </c>
      <c r="F27" s="7">
        <v>2.29</v>
      </c>
      <c r="G27" s="7">
        <v>1.89</v>
      </c>
      <c r="H27" s="7">
        <f t="shared" si="1"/>
        <v>2.092</v>
      </c>
      <c r="I27" s="12">
        <v>3.17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1"/>
    </row>
    <row r="28" ht="21.75" customHeight="1">
      <c r="A28" s="6" t="s">
        <v>53</v>
      </c>
      <c r="B28" s="6" t="s">
        <v>54</v>
      </c>
      <c r="C28" s="7">
        <v>1.99</v>
      </c>
      <c r="D28" s="13">
        <v>2.79</v>
      </c>
      <c r="E28" s="7">
        <v>4.99</v>
      </c>
      <c r="F28" s="7">
        <v>2.72</v>
      </c>
      <c r="G28" s="7">
        <v>3.59</v>
      </c>
      <c r="H28" s="7">
        <f t="shared" si="1"/>
        <v>3.216</v>
      </c>
      <c r="I28" s="12">
        <v>1.83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1"/>
    </row>
    <row r="29" ht="21.75" customHeight="1">
      <c r="A29" s="6" t="s">
        <v>55</v>
      </c>
      <c r="B29" s="6" t="s">
        <v>54</v>
      </c>
      <c r="C29" s="7">
        <v>1.55</v>
      </c>
      <c r="D29" s="13">
        <v>1.29</v>
      </c>
      <c r="E29" s="7">
        <v>0.99</v>
      </c>
      <c r="F29" s="7">
        <v>1.46</v>
      </c>
      <c r="G29" s="7">
        <v>1.79</v>
      </c>
      <c r="H29" s="7">
        <f t="shared" si="1"/>
        <v>1.416</v>
      </c>
      <c r="I29" s="12">
        <v>0.87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1"/>
    </row>
    <row r="30" ht="21.75" customHeight="1">
      <c r="A30" s="6" t="s">
        <v>56</v>
      </c>
      <c r="B30" s="6" t="s">
        <v>54</v>
      </c>
      <c r="C30" s="7">
        <v>1.79</v>
      </c>
      <c r="D30" s="13">
        <v>1.79</v>
      </c>
      <c r="E30" s="7">
        <v>2.69</v>
      </c>
      <c r="F30" s="7">
        <v>1.5</v>
      </c>
      <c r="G30" s="7">
        <v>1.49</v>
      </c>
      <c r="H30" s="7">
        <f t="shared" si="1"/>
        <v>1.852</v>
      </c>
      <c r="I30" s="12">
        <v>1.29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1"/>
    </row>
    <row r="31" ht="21.75" customHeight="1">
      <c r="A31" s="6" t="s">
        <v>57</v>
      </c>
      <c r="B31" s="6" t="s">
        <v>54</v>
      </c>
      <c r="C31" s="7">
        <v>3.29</v>
      </c>
      <c r="D31" s="13">
        <v>6.99</v>
      </c>
      <c r="E31" s="7">
        <v>4.59</v>
      </c>
      <c r="F31" s="7">
        <v>2.79</v>
      </c>
      <c r="G31" s="7">
        <v>1.79</v>
      </c>
      <c r="H31" s="7">
        <f t="shared" si="1"/>
        <v>3.89</v>
      </c>
      <c r="I31" s="12">
        <v>1.2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1"/>
    </row>
    <row r="32" ht="21.75" customHeight="1">
      <c r="A32" s="6" t="s">
        <v>58</v>
      </c>
      <c r="B32" s="6" t="s">
        <v>54</v>
      </c>
      <c r="C32" s="7">
        <v>1.29</v>
      </c>
      <c r="D32" s="13">
        <v>2.79</v>
      </c>
      <c r="E32" s="7">
        <v>1.49</v>
      </c>
      <c r="F32" s="7">
        <v>1.99</v>
      </c>
      <c r="G32" s="7">
        <v>1.39</v>
      </c>
      <c r="H32" s="7">
        <f t="shared" si="1"/>
        <v>1.79</v>
      </c>
      <c r="I32" s="12">
        <v>1.95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/>
    </row>
    <row r="33" ht="21.75" customHeight="1">
      <c r="A33" s="6" t="s">
        <v>59</v>
      </c>
      <c r="B33" s="6" t="s">
        <v>49</v>
      </c>
      <c r="C33" s="7">
        <v>5.79</v>
      </c>
      <c r="D33" s="13">
        <v>9.19</v>
      </c>
      <c r="E33" s="7">
        <v>5.29</v>
      </c>
      <c r="F33" s="7">
        <v>9.99</v>
      </c>
      <c r="G33" s="7">
        <v>7.19</v>
      </c>
      <c r="H33" s="7">
        <f t="shared" si="1"/>
        <v>7.49</v>
      </c>
      <c r="I33" s="12">
        <v>2.02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/>
    </row>
    <row r="34" ht="21.75" customHeight="1">
      <c r="A34" s="6" t="s">
        <v>60</v>
      </c>
      <c r="B34" s="6" t="s">
        <v>20</v>
      </c>
      <c r="C34" s="7">
        <v>1.39</v>
      </c>
      <c r="D34" s="13">
        <v>4.19</v>
      </c>
      <c r="E34" s="7">
        <v>1.25</v>
      </c>
      <c r="F34" s="7">
        <v>4.39</v>
      </c>
      <c r="G34" s="7">
        <v>4.99</v>
      </c>
      <c r="H34" s="7">
        <f t="shared" si="1"/>
        <v>3.242</v>
      </c>
      <c r="I34" s="12">
        <v>1.58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1"/>
    </row>
    <row r="35" ht="21.75" customHeight="1">
      <c r="A35" s="6"/>
      <c r="B35" s="6"/>
      <c r="C35" s="6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1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1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1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1"/>
    </row>
    <row r="39" ht="21.75" customHeight="1">
      <c r="A39" s="5"/>
      <c r="B39" s="5"/>
      <c r="C39" s="5"/>
      <c r="D39" s="5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1"/>
    </row>
    <row r="40" ht="21.75" customHeight="1">
      <c r="A40" s="5"/>
      <c r="B40" s="5"/>
      <c r="C40" s="5"/>
      <c r="D40" s="5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1"/>
    </row>
    <row r="41" ht="21.75" customHeight="1">
      <c r="A41" s="5"/>
      <c r="B41" s="5"/>
      <c r="C41" s="5"/>
      <c r="D41" s="5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1"/>
    </row>
    <row r="42" ht="21.75" customHeight="1">
      <c r="A42" s="5"/>
      <c r="B42" s="5"/>
      <c r="C42" s="5"/>
      <c r="D42" s="5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1"/>
    </row>
    <row r="43" ht="21.75" customHeight="1">
      <c r="A43" s="5"/>
      <c r="B43" s="5"/>
      <c r="C43" s="5"/>
      <c r="D43" s="5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1"/>
    </row>
    <row r="44" ht="21.75" customHeight="1">
      <c r="A44" s="5"/>
      <c r="B44" s="5"/>
      <c r="C44" s="5"/>
      <c r="D44" s="5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1"/>
    </row>
    <row r="45" ht="21.75" customHeight="1">
      <c r="A45" s="5"/>
      <c r="B45" s="5"/>
      <c r="C45" s="5"/>
      <c r="D45" s="5"/>
      <c r="E45" s="6"/>
      <c r="F45" s="1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1"/>
    </row>
    <row r="46" ht="21.75" customHeight="1">
      <c r="A46" s="5"/>
      <c r="B46" s="5"/>
      <c r="C46" s="5"/>
      <c r="D46" s="5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1"/>
    </row>
    <row r="47" ht="21.75" customHeight="1">
      <c r="A47" s="5"/>
      <c r="B47" s="5"/>
      <c r="C47" s="5"/>
      <c r="D47" s="5"/>
      <c r="E47" s="6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1"/>
    </row>
    <row r="48" ht="21.75" customHeight="1">
      <c r="A48" s="5"/>
      <c r="B48" s="5"/>
      <c r="C48" s="5"/>
      <c r="D48" s="5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1"/>
    </row>
    <row r="49" ht="21.75" customHeight="1">
      <c r="A49" s="5"/>
      <c r="B49" s="5"/>
      <c r="C49" s="5"/>
      <c r="D49" s="5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1"/>
    </row>
    <row r="50" ht="21.75" customHeight="1">
      <c r="A50" s="5"/>
      <c r="B50" s="5"/>
      <c r="C50" s="5"/>
      <c r="D50" s="5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1"/>
    </row>
    <row r="51" ht="21.75" customHeight="1">
      <c r="A51" s="5"/>
      <c r="B51" s="5"/>
      <c r="C51" s="5"/>
      <c r="D51" s="5"/>
      <c r="E51" s="6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1"/>
    </row>
    <row r="52" ht="21.75" customHeight="1">
      <c r="A52" s="5"/>
      <c r="B52" s="5"/>
      <c r="C52" s="5"/>
      <c r="D52" s="5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1"/>
    </row>
    <row r="53" ht="21.75" customHeight="1">
      <c r="A53" s="5"/>
      <c r="B53" s="5"/>
      <c r="C53" s="5"/>
      <c r="D53" s="5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1"/>
    </row>
    <row r="54" ht="21.75" customHeight="1">
      <c r="A54" s="5"/>
      <c r="B54" s="5"/>
      <c r="C54" s="5"/>
      <c r="D54" s="5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1"/>
    </row>
    <row r="55" ht="21.75" customHeight="1">
      <c r="A55" s="5"/>
      <c r="B55" s="5"/>
      <c r="C55" s="5"/>
      <c r="D55" s="5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1"/>
    </row>
    <row r="56" ht="21.75" customHeight="1">
      <c r="A56" s="5"/>
      <c r="B56" s="5"/>
      <c r="C56" s="5"/>
      <c r="D56" s="5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1"/>
    </row>
    <row r="57" ht="21.75" customHeight="1">
      <c r="A57" s="5"/>
      <c r="B57" s="5"/>
      <c r="C57" s="5"/>
      <c r="D57" s="5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1"/>
    </row>
    <row r="58" ht="21.75" customHeight="1">
      <c r="A58" s="5"/>
      <c r="B58" s="5"/>
      <c r="C58" s="5"/>
      <c r="D58" s="5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1"/>
    </row>
    <row r="59" ht="21.75" customHeight="1">
      <c r="A59" s="5"/>
      <c r="B59" s="5"/>
      <c r="C59" s="5"/>
      <c r="D59" s="5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1"/>
    </row>
    <row r="60" ht="21.75" customHeight="1">
      <c r="A60" s="5"/>
      <c r="B60" s="5"/>
      <c r="C60" s="5"/>
      <c r="D60" s="5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1"/>
    </row>
    <row r="61" ht="21.75" customHeight="1">
      <c r="A61" s="5"/>
      <c r="B61" s="5"/>
      <c r="C61" s="5"/>
      <c r="D61" s="5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1"/>
    </row>
    <row r="62" ht="21.75" customHeight="1">
      <c r="A62" s="5"/>
      <c r="B62" s="5"/>
      <c r="C62" s="5"/>
      <c r="D62" s="5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1"/>
    </row>
    <row r="63" ht="21.75" customHeight="1">
      <c r="A63" s="5"/>
      <c r="B63" s="5"/>
      <c r="C63" s="5"/>
      <c r="D63" s="5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1"/>
    </row>
    <row r="64" ht="21.75" customHeight="1">
      <c r="A64" s="5"/>
      <c r="B64" s="5"/>
      <c r="C64" s="5"/>
      <c r="D64" s="5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1"/>
    </row>
    <row r="65" ht="21.75" customHeight="1">
      <c r="A65" s="5"/>
      <c r="B65" s="5"/>
      <c r="C65" s="5"/>
      <c r="D65" s="5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1"/>
    </row>
    <row r="66" ht="21.75" customHeight="1">
      <c r="A66" s="5"/>
      <c r="B66" s="5"/>
      <c r="C66" s="5"/>
      <c r="D66" s="5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1"/>
    </row>
    <row r="67" ht="21.75" customHeight="1">
      <c r="A67" s="5"/>
      <c r="B67" s="5"/>
      <c r="C67" s="5"/>
      <c r="D67" s="5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1"/>
    </row>
    <row r="68" ht="21.75" customHeight="1">
      <c r="A68" s="5"/>
      <c r="B68" s="5"/>
      <c r="C68" s="5"/>
      <c r="D68" s="5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1"/>
    </row>
    <row r="69" ht="21.75" customHeight="1">
      <c r="A69" s="5"/>
      <c r="B69" s="5"/>
      <c r="C69" s="5"/>
      <c r="D69" s="5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1"/>
    </row>
    <row r="70" ht="21.75" customHeight="1">
      <c r="A70" s="5"/>
      <c r="B70" s="5"/>
      <c r="C70" s="5"/>
      <c r="D70" s="5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1"/>
    </row>
    <row r="71" ht="21.75" customHeight="1">
      <c r="A71" s="5"/>
      <c r="B71" s="5"/>
      <c r="C71" s="5"/>
      <c r="D71" s="5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1"/>
    </row>
    <row r="72" ht="21.75" customHeight="1">
      <c r="A72" s="5"/>
      <c r="B72" s="5"/>
      <c r="C72" s="5"/>
      <c r="D72" s="5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1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1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1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1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1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1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1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1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1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1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1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1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1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1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1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1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1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1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1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1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1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1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1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1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1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1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1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1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1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1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1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1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1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1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1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1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1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1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1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1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1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1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1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1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1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1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1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1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1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1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1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1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1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1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1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1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1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1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1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1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1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1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1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1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1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1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1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1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1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1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1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1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1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1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1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1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1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1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1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1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1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1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1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1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1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1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1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1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1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1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1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1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1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1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1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1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1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1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1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1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1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1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1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1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1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1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1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1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1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1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1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1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1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1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1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1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1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1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1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1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1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1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1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1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1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1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1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1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1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1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1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1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1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1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1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1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1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1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1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1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1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1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1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1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1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1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1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1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1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1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1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1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1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1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1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1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1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1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1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1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1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1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1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1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1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1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1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1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1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1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1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1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1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1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1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1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1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1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1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1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1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1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1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1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1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1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1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1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1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1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1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1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1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1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1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1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1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1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1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1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1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1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1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1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1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1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1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1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1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1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1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1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1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1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1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1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1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1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1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1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1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1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1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1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1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1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1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1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1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1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1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1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1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1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1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1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1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1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1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1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1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1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1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1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1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1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1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1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1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1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1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1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1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1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1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1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1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1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1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1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1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1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1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1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1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1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1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1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1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1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1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1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1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1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1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1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1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1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1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1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1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1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1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1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1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1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1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1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1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1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1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1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1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1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1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1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1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1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1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1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1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1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1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1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1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1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1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1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1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1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1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1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1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1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1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1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1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1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1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1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1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1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1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1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1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1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1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1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1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1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1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1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1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1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1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1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1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1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1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1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1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1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1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1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1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1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1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1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1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1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1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1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1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1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1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1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1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1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1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1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1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1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1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1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1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1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1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1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1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1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1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1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1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1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1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1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1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1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1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1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1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1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1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1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1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1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1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1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1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1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1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1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1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1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1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1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1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1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1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1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1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1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1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1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1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1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1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1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1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1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1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1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1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1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1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1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1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1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1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1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1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1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1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1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1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1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1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1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1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1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1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1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1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1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1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1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1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1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1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1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1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1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1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1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1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1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1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1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1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1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1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1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1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1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1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1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1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1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1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1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1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1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1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1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1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1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1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1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1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1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1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1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1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1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1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1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1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1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1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1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1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1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1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1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1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1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1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1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1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1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1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1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1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1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1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1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1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1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1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1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1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1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1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1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1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1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1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1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1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1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1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1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1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1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1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1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1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1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1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1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1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1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1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1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1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1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1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1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1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1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1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1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1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1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1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1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1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1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1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1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1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1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1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1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1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1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1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1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1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1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1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1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1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1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1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1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1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1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1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1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1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1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1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1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1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1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1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1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1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1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1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1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1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1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1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1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1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1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1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1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1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1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1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1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1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1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1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1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1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1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1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1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1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1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1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1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1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1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1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1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1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1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1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1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1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1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1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1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1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1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1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1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1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1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1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1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1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1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1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1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1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1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1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1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1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1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1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1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1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1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1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1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1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1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1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1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1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1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1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1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1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1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1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1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1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1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1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1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1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1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1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1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1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1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1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1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1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1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1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1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1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1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1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1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1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1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1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1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1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1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1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1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1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1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1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1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1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1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1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1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1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1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1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1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1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1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1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1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1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1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1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1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1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1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1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1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1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1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1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1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1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1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1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1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1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1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1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1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1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1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1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1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1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1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1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1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1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1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1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1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1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1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1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1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1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1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1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1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1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1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1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1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1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1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1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1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1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1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1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1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1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1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1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1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1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1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1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1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1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1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1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1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1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1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1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1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1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1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1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1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1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1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1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1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1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1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1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1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1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1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1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1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1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1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1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1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1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1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1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1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1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1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1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1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1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1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1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1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1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1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1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1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1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1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1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1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1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1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1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1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1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1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1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1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1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1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1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1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1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1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1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1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1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1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1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1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1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1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1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1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1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1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1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1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1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1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1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1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1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1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1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1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1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1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1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1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1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1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1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1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1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1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1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1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1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1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1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1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1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1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1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1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1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1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1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1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1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1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1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1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1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1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1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1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1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1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1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1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1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1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1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1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1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1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1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1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1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1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1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1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1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1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1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1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1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1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1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1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1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1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1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1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1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1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1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1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1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1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1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1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1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1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1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1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1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1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  <col customWidth="1" min="9" max="9" width="11.88"/>
  </cols>
  <sheetData>
    <row r="1" ht="21.75" customHeight="1">
      <c r="A1" s="4" t="s">
        <v>0</v>
      </c>
      <c r="B1" s="4" t="s">
        <v>1</v>
      </c>
      <c r="C1" s="4" t="s">
        <v>62</v>
      </c>
      <c r="D1" s="4" t="s">
        <v>68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1"/>
    </row>
    <row r="2" ht="21.75" customHeight="1">
      <c r="A2" s="6" t="s">
        <v>16</v>
      </c>
      <c r="B2" s="6" t="s">
        <v>17</v>
      </c>
      <c r="C2" s="7">
        <v>4.39</v>
      </c>
      <c r="D2" s="7">
        <v>6.2</v>
      </c>
      <c r="E2" s="7">
        <v>5.19</v>
      </c>
      <c r="F2" s="7">
        <v>4.99</v>
      </c>
      <c r="G2" s="7">
        <v>2.26</v>
      </c>
      <c r="H2" s="7">
        <f t="shared" ref="H2:H34" si="1">AVERAGE(C2:G2)</f>
        <v>4.606</v>
      </c>
      <c r="I2" s="12">
        <v>1.83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1"/>
    </row>
    <row r="3" ht="21.75" customHeight="1">
      <c r="A3" s="6" t="s">
        <v>19</v>
      </c>
      <c r="B3" s="6" t="s">
        <v>20</v>
      </c>
      <c r="C3" s="7">
        <v>2.35</v>
      </c>
      <c r="D3" s="7">
        <v>4.99</v>
      </c>
      <c r="E3" s="7">
        <v>4.19</v>
      </c>
      <c r="F3" s="7">
        <v>3.0</v>
      </c>
      <c r="G3" s="7">
        <v>1.2</v>
      </c>
      <c r="H3" s="7">
        <f t="shared" si="1"/>
        <v>3.146</v>
      </c>
      <c r="I3" s="12">
        <v>1.1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1"/>
    </row>
    <row r="4" ht="21.75" customHeight="1">
      <c r="A4" s="6" t="s">
        <v>21</v>
      </c>
      <c r="B4" s="6" t="s">
        <v>20</v>
      </c>
      <c r="C4" s="7">
        <v>1.35</v>
      </c>
      <c r="D4" s="7">
        <v>3.6</v>
      </c>
      <c r="E4" s="7">
        <v>2.99</v>
      </c>
      <c r="F4" s="7">
        <v>1.99</v>
      </c>
      <c r="G4" s="7">
        <v>2.3</v>
      </c>
      <c r="H4" s="7">
        <f t="shared" si="1"/>
        <v>2.446</v>
      </c>
      <c r="I4" s="12">
        <v>0.75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/>
    </row>
    <row r="5" ht="21.75" customHeight="1">
      <c r="A5" s="6" t="s">
        <v>22</v>
      </c>
      <c r="B5" s="6" t="s">
        <v>20</v>
      </c>
      <c r="C5" s="7">
        <v>3.09</v>
      </c>
      <c r="D5" s="7">
        <v>6.49</v>
      </c>
      <c r="E5" s="7">
        <v>3.69</v>
      </c>
      <c r="F5" s="7">
        <v>3.49</v>
      </c>
      <c r="G5" s="7">
        <v>8.98</v>
      </c>
      <c r="H5" s="7">
        <f t="shared" si="1"/>
        <v>5.148</v>
      </c>
      <c r="I5" s="12">
        <v>3.96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1"/>
    </row>
    <row r="6" ht="21.75" customHeight="1">
      <c r="A6" s="6" t="s">
        <v>23</v>
      </c>
      <c r="B6" s="6" t="s">
        <v>24</v>
      </c>
      <c r="C6" s="7">
        <v>6.89</v>
      </c>
      <c r="D6" s="7">
        <v>8.28</v>
      </c>
      <c r="E6" s="7">
        <v>18.09</v>
      </c>
      <c r="F6" s="7">
        <v>6.49</v>
      </c>
      <c r="G6" s="7">
        <v>5.99</v>
      </c>
      <c r="H6" s="7">
        <f t="shared" si="1"/>
        <v>9.148</v>
      </c>
      <c r="I6" s="12">
        <v>9.05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1"/>
    </row>
    <row r="7" ht="21.75" customHeight="1">
      <c r="A7" s="6" t="s">
        <v>25</v>
      </c>
      <c r="B7" s="6" t="s">
        <v>24</v>
      </c>
      <c r="C7" s="7">
        <v>2.09</v>
      </c>
      <c r="D7" s="7">
        <v>1.125</v>
      </c>
      <c r="E7" s="7">
        <v>1.79</v>
      </c>
      <c r="F7" s="7">
        <v>2.29</v>
      </c>
      <c r="G7" s="7">
        <v>1.99</v>
      </c>
      <c r="H7" s="7">
        <f t="shared" si="1"/>
        <v>1.857</v>
      </c>
      <c r="I7" s="12">
        <v>1.31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ht="21.75" customHeight="1">
      <c r="A8" s="6" t="s">
        <v>26</v>
      </c>
      <c r="B8" s="6" t="s">
        <v>24</v>
      </c>
      <c r="C8" s="7">
        <v>3.39</v>
      </c>
      <c r="D8" s="7">
        <v>5.39</v>
      </c>
      <c r="E8" s="7">
        <v>5.19</v>
      </c>
      <c r="F8" s="7">
        <v>3.49</v>
      </c>
      <c r="G8" s="7">
        <v>4.24</v>
      </c>
      <c r="H8" s="7">
        <f t="shared" si="1"/>
        <v>4.34</v>
      </c>
      <c r="I8" s="12">
        <v>4.87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ht="21.75" customHeight="1">
      <c r="A9" s="6" t="s">
        <v>27</v>
      </c>
      <c r="B9" s="6" t="s">
        <v>28</v>
      </c>
      <c r="C9" s="7">
        <v>1.09</v>
      </c>
      <c r="D9" s="7">
        <v>3.49</v>
      </c>
      <c r="E9" s="7">
        <v>2.69</v>
      </c>
      <c r="F9" s="7">
        <v>1.79</v>
      </c>
      <c r="G9" s="7">
        <v>2.18</v>
      </c>
      <c r="H9" s="7">
        <f t="shared" si="1"/>
        <v>2.248</v>
      </c>
      <c r="I9" s="12">
        <v>1.3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ht="21.75" customHeight="1">
      <c r="A10" s="6" t="s">
        <v>29</v>
      </c>
      <c r="B10" s="6" t="s">
        <v>28</v>
      </c>
      <c r="C10" s="7">
        <v>2.65</v>
      </c>
      <c r="D10" s="7">
        <v>3.49</v>
      </c>
      <c r="E10" s="7">
        <v>4.19</v>
      </c>
      <c r="F10" s="7">
        <v>3.49</v>
      </c>
      <c r="G10" s="7">
        <v>4.92</v>
      </c>
      <c r="H10" s="7">
        <f t="shared" si="1"/>
        <v>3.748</v>
      </c>
      <c r="I10" s="12">
        <v>2.29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ht="21.75" customHeight="1">
      <c r="A11" s="6" t="s">
        <v>30</v>
      </c>
      <c r="B11" s="6" t="s">
        <v>28</v>
      </c>
      <c r="C11" s="7">
        <v>3.45</v>
      </c>
      <c r="D11" s="7">
        <v>4.56</v>
      </c>
      <c r="E11" s="7">
        <v>5.19</v>
      </c>
      <c r="F11" s="7">
        <v>3.29</v>
      </c>
      <c r="G11" s="7">
        <v>15.17</v>
      </c>
      <c r="H11" s="7">
        <f t="shared" si="1"/>
        <v>6.332</v>
      </c>
      <c r="I11" s="12">
        <v>5.08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ht="21.75" customHeight="1">
      <c r="A12" s="6" t="s">
        <v>31</v>
      </c>
      <c r="B12" s="6" t="s">
        <v>28</v>
      </c>
      <c r="C12" s="7">
        <v>2.09</v>
      </c>
      <c r="D12" s="7">
        <v>2.1</v>
      </c>
      <c r="E12" s="7">
        <v>2.89</v>
      </c>
      <c r="F12" s="7">
        <v>1.99</v>
      </c>
      <c r="G12" s="7">
        <v>3.58</v>
      </c>
      <c r="H12" s="7">
        <f t="shared" si="1"/>
        <v>2.53</v>
      </c>
      <c r="I12" s="12">
        <v>1.71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ht="21.75" customHeight="1">
      <c r="A13" s="6" t="s">
        <v>32</v>
      </c>
      <c r="B13" s="6" t="s">
        <v>33</v>
      </c>
      <c r="C13" s="7">
        <v>4.45</v>
      </c>
      <c r="D13" s="7">
        <v>7.38</v>
      </c>
      <c r="E13" s="7">
        <v>7.29</v>
      </c>
      <c r="F13" s="7">
        <v>7.49</v>
      </c>
      <c r="G13" s="7">
        <v>11.98</v>
      </c>
      <c r="H13" s="7">
        <f t="shared" si="1"/>
        <v>7.718</v>
      </c>
      <c r="I13" s="12">
        <v>4.05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ht="21.75" customHeight="1">
      <c r="A14" s="6" t="s">
        <v>34</v>
      </c>
      <c r="B14" s="6" t="s">
        <v>33</v>
      </c>
      <c r="C14" s="7">
        <v>4.75</v>
      </c>
      <c r="D14" s="7">
        <v>6.49</v>
      </c>
      <c r="E14" s="7">
        <v>3.09</v>
      </c>
      <c r="F14" s="7">
        <v>3.29</v>
      </c>
      <c r="G14" s="7">
        <v>6.99</v>
      </c>
      <c r="H14" s="7">
        <f t="shared" si="1"/>
        <v>4.922</v>
      </c>
      <c r="I14" s="12">
        <v>2.71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ht="21.75" customHeight="1">
      <c r="A15" s="6" t="s">
        <v>35</v>
      </c>
      <c r="B15" s="6" t="s">
        <v>33</v>
      </c>
      <c r="C15" s="7">
        <v>2.99</v>
      </c>
      <c r="D15" s="7">
        <v>7.49</v>
      </c>
      <c r="E15" s="7">
        <v>3.09</v>
      </c>
      <c r="F15" s="7">
        <v>5.49</v>
      </c>
      <c r="G15" s="7">
        <v>2.99</v>
      </c>
      <c r="H15" s="7">
        <f t="shared" si="1"/>
        <v>4.41</v>
      </c>
      <c r="I15" s="12">
        <v>4.38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1"/>
    </row>
    <row r="16" ht="21.75" customHeight="1">
      <c r="A16" s="6" t="s">
        <v>36</v>
      </c>
      <c r="B16" s="6" t="s">
        <v>33</v>
      </c>
      <c r="C16" s="7">
        <v>3.35</v>
      </c>
      <c r="D16" s="7">
        <v>4.99</v>
      </c>
      <c r="E16" s="7">
        <v>2.09</v>
      </c>
      <c r="F16" s="7">
        <v>3.99</v>
      </c>
      <c r="G16" s="7">
        <v>4.99</v>
      </c>
      <c r="H16" s="7">
        <f t="shared" si="1"/>
        <v>3.882</v>
      </c>
      <c r="I16" s="12">
        <v>5.98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1"/>
    </row>
    <row r="17" ht="21.75" customHeight="1">
      <c r="A17" s="6" t="s">
        <v>37</v>
      </c>
      <c r="B17" s="6" t="s">
        <v>33</v>
      </c>
      <c r="C17" s="7">
        <v>1.3</v>
      </c>
      <c r="D17" s="7">
        <v>2.01</v>
      </c>
      <c r="E17" s="7">
        <v>1.29</v>
      </c>
      <c r="F17" s="7">
        <v>1.79</v>
      </c>
      <c r="G17" s="7">
        <v>1.25</v>
      </c>
      <c r="H17" s="7">
        <f t="shared" si="1"/>
        <v>1.528</v>
      </c>
      <c r="I17" s="12">
        <v>1.52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1"/>
    </row>
    <row r="18" ht="21.75" customHeight="1">
      <c r="A18" s="6" t="s">
        <v>38</v>
      </c>
      <c r="B18" s="6" t="s">
        <v>39</v>
      </c>
      <c r="C18" s="7">
        <v>3.95</v>
      </c>
      <c r="D18" s="7">
        <v>4.99</v>
      </c>
      <c r="E18" s="7">
        <v>3.19</v>
      </c>
      <c r="F18" s="7">
        <v>3.39</v>
      </c>
      <c r="G18" s="7">
        <v>4.88</v>
      </c>
      <c r="H18" s="7">
        <f t="shared" si="1"/>
        <v>4.08</v>
      </c>
      <c r="I18" s="12">
        <v>3.99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1"/>
    </row>
    <row r="19" ht="21.75" customHeight="1">
      <c r="A19" s="6" t="s">
        <v>40</v>
      </c>
      <c r="B19" s="6" t="s">
        <v>41</v>
      </c>
      <c r="C19" s="7">
        <v>2.88</v>
      </c>
      <c r="D19" s="7">
        <v>3.0</v>
      </c>
      <c r="E19" s="7">
        <v>2.09</v>
      </c>
      <c r="F19" s="7">
        <v>2.5</v>
      </c>
      <c r="G19" s="7">
        <v>2.49</v>
      </c>
      <c r="H19" s="7">
        <f t="shared" si="1"/>
        <v>2.592</v>
      </c>
      <c r="I19" s="12">
        <v>1.32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1"/>
    </row>
    <row r="20" ht="21.75" customHeight="1">
      <c r="A20" s="6" t="s">
        <v>42</v>
      </c>
      <c r="B20" s="6" t="s">
        <v>41</v>
      </c>
      <c r="C20" s="7">
        <v>1.5</v>
      </c>
      <c r="D20" s="7">
        <v>1.2</v>
      </c>
      <c r="E20" s="7">
        <v>1.39</v>
      </c>
      <c r="F20" s="7">
        <v>1.66</v>
      </c>
      <c r="G20" s="7">
        <v>0.69</v>
      </c>
      <c r="H20" s="7">
        <f t="shared" si="1"/>
        <v>1.288</v>
      </c>
      <c r="I20" s="12">
        <v>0.66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1"/>
    </row>
    <row r="21" ht="21.75" customHeight="1">
      <c r="A21" s="6" t="s">
        <v>43</v>
      </c>
      <c r="B21" s="6" t="s">
        <v>41</v>
      </c>
      <c r="C21" s="7">
        <v>3.59</v>
      </c>
      <c r="D21" s="7">
        <v>2.13</v>
      </c>
      <c r="E21" s="7">
        <v>2.09</v>
      </c>
      <c r="F21" s="7">
        <v>1.59</v>
      </c>
      <c r="G21" s="7">
        <v>1.33</v>
      </c>
      <c r="H21" s="7">
        <f t="shared" si="1"/>
        <v>2.146</v>
      </c>
      <c r="I21" s="12">
        <v>1.57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1"/>
    </row>
    <row r="22" ht="21.75" customHeight="1">
      <c r="A22" s="6" t="s">
        <v>44</v>
      </c>
      <c r="B22" s="6" t="s">
        <v>45</v>
      </c>
      <c r="C22" s="7">
        <v>2.35</v>
      </c>
      <c r="D22" s="7">
        <v>9.19</v>
      </c>
      <c r="E22" s="7">
        <v>4.19</v>
      </c>
      <c r="F22" s="7">
        <v>3.79</v>
      </c>
      <c r="G22" s="7">
        <v>5.32</v>
      </c>
      <c r="H22" s="7">
        <f t="shared" si="1"/>
        <v>4.968</v>
      </c>
      <c r="I22" s="12">
        <v>1.08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1"/>
    </row>
    <row r="23" ht="21.75" customHeight="1">
      <c r="A23" s="6" t="s">
        <v>46</v>
      </c>
      <c r="B23" s="6" t="s">
        <v>45</v>
      </c>
      <c r="C23" s="7">
        <v>2.49</v>
      </c>
      <c r="D23" s="7">
        <v>2.29</v>
      </c>
      <c r="E23" s="7">
        <v>2.39</v>
      </c>
      <c r="F23" s="7">
        <v>1.99</v>
      </c>
      <c r="G23" s="7">
        <v>0.99</v>
      </c>
      <c r="H23" s="7">
        <f t="shared" si="1"/>
        <v>2.03</v>
      </c>
      <c r="I23" s="12">
        <v>1.31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1"/>
    </row>
    <row r="24" ht="21.75" customHeight="1">
      <c r="A24" s="6" t="s">
        <v>47</v>
      </c>
      <c r="B24" s="6" t="s">
        <v>45</v>
      </c>
      <c r="C24" s="7">
        <v>3.85</v>
      </c>
      <c r="D24" s="7">
        <v>6.49</v>
      </c>
      <c r="E24" s="7">
        <v>4.19</v>
      </c>
      <c r="F24" s="7">
        <v>3.99</v>
      </c>
      <c r="G24" s="7">
        <v>2.79</v>
      </c>
      <c r="H24" s="7">
        <f t="shared" si="1"/>
        <v>4.262</v>
      </c>
      <c r="I24" s="12">
        <v>3.32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1"/>
    </row>
    <row r="25" ht="21.75" customHeight="1">
      <c r="A25" s="6" t="s">
        <v>48</v>
      </c>
      <c r="B25" s="6" t="s">
        <v>49</v>
      </c>
      <c r="C25" s="7">
        <v>3.39</v>
      </c>
      <c r="D25" s="7">
        <v>8.49</v>
      </c>
      <c r="E25" s="7">
        <v>6.29</v>
      </c>
      <c r="F25" s="7">
        <v>7.29</v>
      </c>
      <c r="G25" s="7">
        <v>4.49</v>
      </c>
      <c r="H25" s="7">
        <f t="shared" si="1"/>
        <v>5.99</v>
      </c>
      <c r="I25" s="12">
        <v>4.17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1"/>
    </row>
    <row r="26" ht="21.75" customHeight="1">
      <c r="A26" s="6" t="s">
        <v>50</v>
      </c>
      <c r="B26" s="6" t="s">
        <v>49</v>
      </c>
      <c r="C26" s="7">
        <v>6.59</v>
      </c>
      <c r="D26" s="7">
        <v>10.19</v>
      </c>
      <c r="E26" s="7">
        <v>6.79</v>
      </c>
      <c r="F26" s="7">
        <v>6.99</v>
      </c>
      <c r="G26" s="7">
        <v>6.49</v>
      </c>
      <c r="H26" s="7">
        <f t="shared" si="1"/>
        <v>7.41</v>
      </c>
      <c r="I26" s="12">
        <v>6.52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1"/>
    </row>
    <row r="27" ht="21.75" customHeight="1">
      <c r="A27" s="6" t="s">
        <v>51</v>
      </c>
      <c r="B27" s="6" t="s">
        <v>52</v>
      </c>
      <c r="C27" s="7">
        <v>1.15</v>
      </c>
      <c r="D27" s="7">
        <v>2.99</v>
      </c>
      <c r="E27" s="7">
        <v>2.89</v>
      </c>
      <c r="F27" s="7">
        <v>2.29</v>
      </c>
      <c r="G27" s="7">
        <v>1.99</v>
      </c>
      <c r="H27" s="7">
        <f t="shared" si="1"/>
        <v>2.262</v>
      </c>
      <c r="I27" s="12">
        <v>3.17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1"/>
    </row>
    <row r="28" ht="21.75" customHeight="1">
      <c r="A28" s="6" t="s">
        <v>53</v>
      </c>
      <c r="B28" s="6" t="s">
        <v>54</v>
      </c>
      <c r="C28" s="7">
        <v>1.99</v>
      </c>
      <c r="D28" s="7">
        <v>2.99</v>
      </c>
      <c r="E28" s="7">
        <v>4.19</v>
      </c>
      <c r="F28" s="7">
        <v>2.72</v>
      </c>
      <c r="G28" s="7">
        <v>3.79</v>
      </c>
      <c r="H28" s="7">
        <f t="shared" si="1"/>
        <v>3.136</v>
      </c>
      <c r="I28" s="12">
        <v>1.83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1"/>
    </row>
    <row r="29" ht="21.75" customHeight="1">
      <c r="A29" s="6" t="s">
        <v>55</v>
      </c>
      <c r="B29" s="6" t="s">
        <v>54</v>
      </c>
      <c r="C29" s="7">
        <v>1.55</v>
      </c>
      <c r="D29" s="7">
        <v>1.49</v>
      </c>
      <c r="E29" s="7">
        <v>0.99</v>
      </c>
      <c r="F29" s="7">
        <v>1.46</v>
      </c>
      <c r="G29" s="7">
        <v>1.98</v>
      </c>
      <c r="H29" s="7">
        <f t="shared" si="1"/>
        <v>1.494</v>
      </c>
      <c r="I29" s="12">
        <v>0.87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1"/>
    </row>
    <row r="30" ht="21.75" customHeight="1">
      <c r="A30" s="6" t="s">
        <v>56</v>
      </c>
      <c r="B30" s="6" t="s">
        <v>54</v>
      </c>
      <c r="C30" s="7">
        <v>1.69</v>
      </c>
      <c r="D30" s="7">
        <v>1.99</v>
      </c>
      <c r="E30" s="7">
        <v>2.09</v>
      </c>
      <c r="F30" s="7">
        <v>1.5</v>
      </c>
      <c r="G30" s="7">
        <v>1.59</v>
      </c>
      <c r="H30" s="7">
        <f t="shared" si="1"/>
        <v>1.772</v>
      </c>
      <c r="I30" s="12">
        <v>1.29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1"/>
    </row>
    <row r="31" ht="21.75" customHeight="1">
      <c r="A31" s="6" t="s">
        <v>57</v>
      </c>
      <c r="B31" s="6" t="s">
        <v>54</v>
      </c>
      <c r="C31" s="7">
        <v>3.29</v>
      </c>
      <c r="D31" s="7">
        <v>8.72</v>
      </c>
      <c r="E31" s="7">
        <v>6.29</v>
      </c>
      <c r="F31" s="7">
        <v>2.79</v>
      </c>
      <c r="G31" s="7">
        <v>1.99</v>
      </c>
      <c r="H31" s="7">
        <f t="shared" si="1"/>
        <v>4.616</v>
      </c>
      <c r="I31" s="12">
        <v>1.2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1"/>
    </row>
    <row r="32" ht="21.75" customHeight="1">
      <c r="A32" s="6" t="s">
        <v>58</v>
      </c>
      <c r="B32" s="6" t="s">
        <v>54</v>
      </c>
      <c r="C32" s="7">
        <v>2.29</v>
      </c>
      <c r="D32" s="7">
        <v>2.99</v>
      </c>
      <c r="E32" s="7">
        <v>2.09</v>
      </c>
      <c r="F32" s="7">
        <v>1.99</v>
      </c>
      <c r="G32" s="7">
        <v>1.49</v>
      </c>
      <c r="H32" s="7">
        <f t="shared" si="1"/>
        <v>2.17</v>
      </c>
      <c r="I32" s="12">
        <v>1.95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/>
    </row>
    <row r="33" ht="21.75" customHeight="1">
      <c r="A33" s="6" t="s">
        <v>59</v>
      </c>
      <c r="B33" s="6" t="s">
        <v>49</v>
      </c>
      <c r="C33" s="7">
        <v>5.79</v>
      </c>
      <c r="D33" s="7">
        <v>9.49</v>
      </c>
      <c r="E33" s="7">
        <v>11.49</v>
      </c>
      <c r="F33" s="7">
        <v>9.99</v>
      </c>
      <c r="G33" s="7">
        <v>7.49</v>
      </c>
      <c r="H33" s="7">
        <f t="shared" si="1"/>
        <v>8.85</v>
      </c>
      <c r="I33" s="12">
        <v>2.02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/>
    </row>
    <row r="34" ht="21.75" customHeight="1">
      <c r="A34" s="6" t="s">
        <v>60</v>
      </c>
      <c r="B34" s="6" t="s">
        <v>20</v>
      </c>
      <c r="C34" s="7">
        <v>3.49</v>
      </c>
      <c r="D34" s="7">
        <v>4.49</v>
      </c>
      <c r="E34" s="7">
        <v>2.19</v>
      </c>
      <c r="F34" s="7">
        <v>4.39</v>
      </c>
      <c r="G34" s="7">
        <v>5.28</v>
      </c>
      <c r="H34" s="7">
        <f t="shared" si="1"/>
        <v>3.968</v>
      </c>
      <c r="I34" s="12">
        <v>1.58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1"/>
    </row>
    <row r="35" ht="21.75" customHeight="1">
      <c r="A35" s="6"/>
      <c r="B35" s="6"/>
      <c r="C35" s="6"/>
      <c r="D35" s="5"/>
      <c r="E35" s="5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1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1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1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1"/>
    </row>
    <row r="39" ht="21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1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1"/>
    </row>
    <row r="4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1"/>
    </row>
    <row r="42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1"/>
    </row>
    <row r="43" ht="21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1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1"/>
    </row>
    <row r="45" ht="21.75" customHeight="1">
      <c r="A45" s="5"/>
      <c r="B45" s="5"/>
      <c r="C45" s="5"/>
      <c r="D45" s="5"/>
      <c r="E45" s="5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1"/>
    </row>
    <row r="46" ht="21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1"/>
    </row>
    <row r="47" ht="21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1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1"/>
    </row>
    <row r="49" ht="21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1"/>
    </row>
    <row r="50" ht="21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1"/>
    </row>
    <row r="51" ht="21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1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1"/>
    </row>
    <row r="53" ht="21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1"/>
    </row>
    <row r="54" ht="21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1"/>
    </row>
    <row r="55" ht="21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1"/>
    </row>
    <row r="56" ht="21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1"/>
    </row>
    <row r="57" ht="21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1"/>
    </row>
    <row r="58" ht="21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1"/>
    </row>
    <row r="59" ht="21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1"/>
    </row>
    <row r="60" ht="21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1"/>
    </row>
    <row r="61" ht="21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1"/>
    </row>
    <row r="62" ht="21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1"/>
    </row>
    <row r="63" ht="21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1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1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1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1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1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1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1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1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1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1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1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1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1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1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1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1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1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1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1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1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1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1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1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1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1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1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1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1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1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1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1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1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1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1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1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1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1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1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1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1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1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1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1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1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1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1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1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1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1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1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1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1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1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1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1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1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1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1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1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1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1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1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1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1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1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1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1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1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1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1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1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1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1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1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1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1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1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1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1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1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1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1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1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1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1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1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1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1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1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1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1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1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1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1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1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1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1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1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1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1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1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1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1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1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1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1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1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1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1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1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1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1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1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1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1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1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1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1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1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1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1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1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1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1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1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1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1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1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1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1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1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1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1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1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1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1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1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1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1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1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1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1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1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1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1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1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1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1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1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1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1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1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1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1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1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1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1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1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1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1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1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1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1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1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1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1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1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1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1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1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1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1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1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1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1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1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1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1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1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1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1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1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1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1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1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1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1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1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1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1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1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1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1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1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1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1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1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1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1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1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1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1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1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1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1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1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1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1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1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1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1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1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1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1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1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1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1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1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1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1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1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1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1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1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1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1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1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1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1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1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1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1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1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1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1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1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1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1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1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1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1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1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1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1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1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1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1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1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1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1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1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1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1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1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1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1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1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1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1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1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1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1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1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1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1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1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1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1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1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1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1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1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1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1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1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1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1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1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1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1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1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1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1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1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1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1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1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1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1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1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1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1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1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1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1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1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1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1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1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1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1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1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1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1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1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1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1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1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1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1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1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1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1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1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1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1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1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1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1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1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1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1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1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1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1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1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1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1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1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1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1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1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1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1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1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1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1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1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1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1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1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1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1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1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1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1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1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1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1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1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1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1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1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1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1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1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1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1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1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1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1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1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1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1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1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1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1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1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1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1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1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1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1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1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1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1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1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1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1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1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1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1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1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1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1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1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1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1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1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1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1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1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1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1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1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1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1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1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1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1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1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1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1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1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1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1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1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1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1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1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1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1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1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1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1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1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1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1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1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1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1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1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1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1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1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1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1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1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1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1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1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1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1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1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1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1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1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1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1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1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1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1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1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1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1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1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1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1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1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1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1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1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1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1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1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1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1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1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1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1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1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1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1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1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1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1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1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1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1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1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1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1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1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1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1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1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1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1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1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1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1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1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1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1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1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1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1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1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1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1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1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1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1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1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1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1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1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1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1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1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1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1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1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1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1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1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1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1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1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1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1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1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1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1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1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1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1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1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1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1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1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1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1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1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1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1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1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1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1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1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1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1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1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1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1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1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1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1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1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1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1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1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1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1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1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1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1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1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1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1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1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1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1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1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1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1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1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1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1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1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1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1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1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1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1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1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1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1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1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1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1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1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1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1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1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1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1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1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1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1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1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1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1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1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1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1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1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1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1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1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1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1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1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1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1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1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1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1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1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1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1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1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1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1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1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1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1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1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1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1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1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1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1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1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1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1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1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1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1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1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1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1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1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1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1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1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1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1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1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1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1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1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1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1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1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1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1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1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1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1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1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1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1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1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1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1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1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1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1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1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1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1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1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1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1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1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1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1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1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1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1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1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1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1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1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1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1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1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1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1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1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1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1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1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1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1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1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1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1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1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1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1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1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1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1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1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1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1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1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1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1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1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1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1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1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1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1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1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1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1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1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1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1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1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1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1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1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1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1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1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1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1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1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1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1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1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1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1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1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1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1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1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1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1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1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1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1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1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1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1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1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1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1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1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1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1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1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1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1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1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1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1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1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1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1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1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1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1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1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1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1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1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1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1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1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1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1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1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1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1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1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1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1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1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1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1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1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1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1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1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1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1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1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1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1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1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1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1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1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1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1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1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1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1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1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1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1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1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1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1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1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1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1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1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1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1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1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1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1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1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1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1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1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1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1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1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1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1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1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1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1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1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1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1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1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1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1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1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1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1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1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1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1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1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1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1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1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1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1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1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1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1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1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1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1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1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1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1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1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1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1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1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1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1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1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1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1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1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1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1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1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1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1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1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1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1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1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1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1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1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1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1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1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1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1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1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1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1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1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1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1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1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1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1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1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1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1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1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1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1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1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1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1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1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1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1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1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1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1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1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1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1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1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1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1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1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1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1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1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1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1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1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1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1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1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1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1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1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1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1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1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1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1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1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1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3.0"/>
    <col customWidth="1" min="3" max="8" width="12.38"/>
    <col customWidth="1" min="9" max="9" width="11.88"/>
  </cols>
  <sheetData>
    <row r="1" ht="21.75" customHeight="1">
      <c r="A1" s="4" t="s">
        <v>0</v>
      </c>
      <c r="B1" s="4" t="s">
        <v>1</v>
      </c>
      <c r="C1" s="4" t="s">
        <v>62</v>
      </c>
      <c r="D1" s="4" t="s">
        <v>68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1"/>
    </row>
    <row r="2" ht="21.75" customHeight="1">
      <c r="A2" s="6" t="s">
        <v>16</v>
      </c>
      <c r="B2" s="6" t="s">
        <v>17</v>
      </c>
      <c r="C2" s="7">
        <v>4.61</v>
      </c>
      <c r="D2" s="8">
        <v>6.2</v>
      </c>
      <c r="E2" s="7">
        <v>5.39</v>
      </c>
      <c r="F2" s="8">
        <v>4.99</v>
      </c>
      <c r="G2" s="16">
        <v>2.49</v>
      </c>
      <c r="H2" s="7">
        <f t="shared" ref="H2:H34" si="1">AVERAGE(C2:G2)</f>
        <v>4.736</v>
      </c>
      <c r="I2" s="12">
        <v>1.83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1"/>
    </row>
    <row r="3" ht="21.75" customHeight="1">
      <c r="A3" s="6" t="s">
        <v>19</v>
      </c>
      <c r="B3" s="6" t="s">
        <v>20</v>
      </c>
      <c r="C3" s="7">
        <v>2.47</v>
      </c>
      <c r="D3" s="8">
        <v>4.99</v>
      </c>
      <c r="E3" s="7">
        <v>5.52</v>
      </c>
      <c r="F3" s="8">
        <v>3.0</v>
      </c>
      <c r="G3" s="16">
        <v>2.99</v>
      </c>
      <c r="H3" s="7">
        <f t="shared" si="1"/>
        <v>3.794</v>
      </c>
      <c r="I3" s="12">
        <v>1.1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1"/>
    </row>
    <row r="4" ht="21.75" customHeight="1">
      <c r="A4" s="6" t="s">
        <v>21</v>
      </c>
      <c r="B4" s="6" t="s">
        <v>20</v>
      </c>
      <c r="C4" s="7">
        <v>1.42</v>
      </c>
      <c r="D4" s="8">
        <v>3.61</v>
      </c>
      <c r="E4" s="7">
        <v>2.99</v>
      </c>
      <c r="F4" s="8">
        <v>1.99</v>
      </c>
      <c r="G4" s="16">
        <v>1.99</v>
      </c>
      <c r="H4" s="7">
        <f t="shared" si="1"/>
        <v>2.4</v>
      </c>
      <c r="I4" s="12">
        <v>0.75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/>
    </row>
    <row r="5" ht="21.75" customHeight="1">
      <c r="A5" s="6" t="s">
        <v>22</v>
      </c>
      <c r="B5" s="6" t="s">
        <v>20</v>
      </c>
      <c r="C5" s="7">
        <v>3.24</v>
      </c>
      <c r="D5" s="8">
        <v>6.42</v>
      </c>
      <c r="E5" s="7">
        <v>4.69</v>
      </c>
      <c r="F5" s="8">
        <v>3.49</v>
      </c>
      <c r="G5" s="16">
        <v>4.49</v>
      </c>
      <c r="H5" s="7">
        <f t="shared" si="1"/>
        <v>4.466</v>
      </c>
      <c r="I5" s="12">
        <v>3.96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1"/>
    </row>
    <row r="6" ht="21.75" customHeight="1">
      <c r="A6" s="6" t="s">
        <v>23</v>
      </c>
      <c r="B6" s="6" t="s">
        <v>24</v>
      </c>
      <c r="C6" s="7">
        <v>7.23</v>
      </c>
      <c r="D6" s="8">
        <v>8.28</v>
      </c>
      <c r="E6" s="7">
        <v>7.49</v>
      </c>
      <c r="F6" s="8">
        <v>6.49</v>
      </c>
      <c r="G6" s="16">
        <v>6.99</v>
      </c>
      <c r="H6" s="7">
        <f t="shared" si="1"/>
        <v>7.296</v>
      </c>
      <c r="I6" s="12">
        <v>9.05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1"/>
    </row>
    <row r="7" ht="21.75" customHeight="1">
      <c r="A7" s="6" t="s">
        <v>25</v>
      </c>
      <c r="B7" s="6" t="s">
        <v>24</v>
      </c>
      <c r="C7" s="7">
        <v>2.19</v>
      </c>
      <c r="D7" s="8">
        <v>1.13</v>
      </c>
      <c r="E7" s="7">
        <v>1.08</v>
      </c>
      <c r="F7" s="8">
        <v>2.29</v>
      </c>
      <c r="G7" s="16">
        <v>1.99</v>
      </c>
      <c r="H7" s="7">
        <f t="shared" si="1"/>
        <v>1.736</v>
      </c>
      <c r="I7" s="12">
        <v>1.31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1"/>
    </row>
    <row r="8" ht="21.75" customHeight="1">
      <c r="A8" s="6" t="s">
        <v>26</v>
      </c>
      <c r="B8" s="6" t="s">
        <v>24</v>
      </c>
      <c r="C8" s="7">
        <v>3.56</v>
      </c>
      <c r="D8" s="8">
        <v>5.36</v>
      </c>
      <c r="E8" s="7">
        <v>2.99</v>
      </c>
      <c r="F8" s="8">
        <v>3.59</v>
      </c>
      <c r="G8" s="16">
        <v>4.79</v>
      </c>
      <c r="H8" s="7">
        <f t="shared" si="1"/>
        <v>4.058</v>
      </c>
      <c r="I8" s="12">
        <v>4.87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1"/>
    </row>
    <row r="9" ht="21.75" customHeight="1">
      <c r="A9" s="6" t="s">
        <v>27</v>
      </c>
      <c r="B9" s="6" t="s">
        <v>28</v>
      </c>
      <c r="C9" s="7">
        <v>1.14</v>
      </c>
      <c r="D9" s="8">
        <v>3.49</v>
      </c>
      <c r="E9" s="7">
        <v>3.49</v>
      </c>
      <c r="F9" s="8">
        <v>1.79</v>
      </c>
      <c r="G9" s="16">
        <v>2.99</v>
      </c>
      <c r="H9" s="7">
        <f t="shared" si="1"/>
        <v>2.58</v>
      </c>
      <c r="I9" s="12">
        <v>1.3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1"/>
    </row>
    <row r="10" ht="21.75" customHeight="1">
      <c r="A10" s="6" t="s">
        <v>29</v>
      </c>
      <c r="B10" s="6" t="s">
        <v>28</v>
      </c>
      <c r="C10" s="7">
        <v>2.78</v>
      </c>
      <c r="D10" s="8">
        <v>3.49</v>
      </c>
      <c r="E10" s="7">
        <v>3.99</v>
      </c>
      <c r="F10" s="8">
        <v>3.49</v>
      </c>
      <c r="G10" s="16">
        <v>4.99</v>
      </c>
      <c r="H10" s="7">
        <f t="shared" si="1"/>
        <v>3.748</v>
      </c>
      <c r="I10" s="12">
        <v>2.29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1"/>
    </row>
    <row r="11" ht="21.75" customHeight="1">
      <c r="A11" s="6" t="s">
        <v>30</v>
      </c>
      <c r="B11" s="6" t="s">
        <v>28</v>
      </c>
      <c r="C11" s="7">
        <v>3.62</v>
      </c>
      <c r="D11" s="8">
        <v>4.56</v>
      </c>
      <c r="E11" s="7">
        <v>7.89</v>
      </c>
      <c r="F11" s="8">
        <v>3.29</v>
      </c>
      <c r="G11" s="16">
        <v>10.99</v>
      </c>
      <c r="H11" s="7">
        <f t="shared" si="1"/>
        <v>6.07</v>
      </c>
      <c r="I11" s="12">
        <v>5.08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1"/>
    </row>
    <row r="12" ht="21.75" customHeight="1">
      <c r="A12" s="6" t="s">
        <v>31</v>
      </c>
      <c r="B12" s="6" t="s">
        <v>28</v>
      </c>
      <c r="C12" s="7">
        <v>2.19</v>
      </c>
      <c r="D12" s="8">
        <v>2.1</v>
      </c>
      <c r="E12" s="7">
        <v>2.49</v>
      </c>
      <c r="F12" s="8">
        <v>1.99</v>
      </c>
      <c r="G12" s="16">
        <v>1.19</v>
      </c>
      <c r="H12" s="7">
        <f t="shared" si="1"/>
        <v>1.992</v>
      </c>
      <c r="I12" s="12">
        <v>1.71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1"/>
    </row>
    <row r="13" ht="21.75" customHeight="1">
      <c r="A13" s="6" t="s">
        <v>32</v>
      </c>
      <c r="B13" s="6" t="s">
        <v>33</v>
      </c>
      <c r="C13" s="7">
        <v>4.67</v>
      </c>
      <c r="D13" s="7">
        <v>7.79</v>
      </c>
      <c r="E13" s="7">
        <v>7.99</v>
      </c>
      <c r="F13" s="8">
        <v>7.49</v>
      </c>
      <c r="G13" s="16">
        <v>5.69</v>
      </c>
      <c r="H13" s="7">
        <f t="shared" si="1"/>
        <v>6.726</v>
      </c>
      <c r="I13" s="12">
        <v>4.05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1"/>
    </row>
    <row r="14" ht="21.75" customHeight="1">
      <c r="A14" s="6" t="s">
        <v>34</v>
      </c>
      <c r="B14" s="6" t="s">
        <v>33</v>
      </c>
      <c r="C14" s="7">
        <v>4.51</v>
      </c>
      <c r="D14" s="8">
        <v>6.49</v>
      </c>
      <c r="E14" s="7">
        <v>2.29</v>
      </c>
      <c r="F14" s="8">
        <v>3.29</v>
      </c>
      <c r="G14" s="16">
        <v>5.99</v>
      </c>
      <c r="H14" s="7">
        <f t="shared" si="1"/>
        <v>4.514</v>
      </c>
      <c r="I14" s="12">
        <v>2.71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1"/>
    </row>
    <row r="15" ht="21.75" customHeight="1">
      <c r="A15" s="6" t="s">
        <v>35</v>
      </c>
      <c r="B15" s="6" t="s">
        <v>33</v>
      </c>
      <c r="C15" s="7">
        <v>3.14</v>
      </c>
      <c r="D15" s="8">
        <v>7.45</v>
      </c>
      <c r="E15" s="7">
        <v>4.99</v>
      </c>
      <c r="F15" s="8">
        <v>5.49</v>
      </c>
      <c r="G15" s="16">
        <v>2.99</v>
      </c>
      <c r="H15" s="7">
        <f t="shared" si="1"/>
        <v>4.812</v>
      </c>
      <c r="I15" s="12">
        <v>4.38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1"/>
    </row>
    <row r="16" ht="21.75" customHeight="1">
      <c r="A16" s="6" t="s">
        <v>36</v>
      </c>
      <c r="B16" s="6" t="s">
        <v>33</v>
      </c>
      <c r="C16" s="7">
        <v>3.52</v>
      </c>
      <c r="D16" s="8">
        <v>4.9</v>
      </c>
      <c r="E16" s="7">
        <v>7.58</v>
      </c>
      <c r="F16" s="8">
        <v>3.99</v>
      </c>
      <c r="G16" s="16">
        <v>3.99</v>
      </c>
      <c r="H16" s="7">
        <f t="shared" si="1"/>
        <v>4.796</v>
      </c>
      <c r="I16" s="12">
        <v>5.98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1"/>
    </row>
    <row r="17" ht="21.75" customHeight="1">
      <c r="A17" s="6" t="s">
        <v>37</v>
      </c>
      <c r="B17" s="6" t="s">
        <v>33</v>
      </c>
      <c r="C17" s="7">
        <v>1.37</v>
      </c>
      <c r="D17" s="8">
        <v>2.05</v>
      </c>
      <c r="E17" s="7">
        <v>2.59</v>
      </c>
      <c r="F17" s="8">
        <v>1.79</v>
      </c>
      <c r="G17" s="16">
        <v>0.99</v>
      </c>
      <c r="H17" s="7">
        <f t="shared" si="1"/>
        <v>1.758</v>
      </c>
      <c r="I17" s="12">
        <v>1.52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1"/>
    </row>
    <row r="18" ht="21.75" customHeight="1">
      <c r="A18" s="6" t="s">
        <v>38</v>
      </c>
      <c r="B18" s="6" t="s">
        <v>39</v>
      </c>
      <c r="C18" s="7">
        <v>4.15</v>
      </c>
      <c r="D18" s="8">
        <v>4.99</v>
      </c>
      <c r="E18" s="7">
        <v>4.99</v>
      </c>
      <c r="F18" s="8">
        <v>3.39</v>
      </c>
      <c r="G18" s="16">
        <v>2.79</v>
      </c>
      <c r="H18" s="7">
        <f t="shared" si="1"/>
        <v>4.062</v>
      </c>
      <c r="I18" s="12">
        <v>3.99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1"/>
    </row>
    <row r="19" ht="21.75" customHeight="1">
      <c r="A19" s="6" t="s">
        <v>40</v>
      </c>
      <c r="B19" s="6" t="s">
        <v>41</v>
      </c>
      <c r="C19" s="7">
        <v>2.74</v>
      </c>
      <c r="D19" s="8">
        <v>3.07</v>
      </c>
      <c r="E19" s="7">
        <v>2.49</v>
      </c>
      <c r="F19" s="8">
        <v>2.5</v>
      </c>
      <c r="G19" s="16">
        <v>1.5</v>
      </c>
      <c r="H19" s="7">
        <f t="shared" si="1"/>
        <v>2.46</v>
      </c>
      <c r="I19" s="12">
        <v>1.32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1"/>
    </row>
    <row r="20" ht="21.75" customHeight="1">
      <c r="A20" s="6" t="s">
        <v>42</v>
      </c>
      <c r="B20" s="6" t="s">
        <v>41</v>
      </c>
      <c r="C20" s="7">
        <v>1.43</v>
      </c>
      <c r="D20" s="8">
        <v>1.11</v>
      </c>
      <c r="E20" s="7">
        <v>0.99</v>
      </c>
      <c r="F20" s="8">
        <v>1.66</v>
      </c>
      <c r="G20" s="16">
        <v>0.23</v>
      </c>
      <c r="H20" s="7">
        <f t="shared" si="1"/>
        <v>1.084</v>
      </c>
      <c r="I20" s="12">
        <v>0.66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1"/>
    </row>
    <row r="21" ht="21.75" customHeight="1">
      <c r="A21" s="6" t="s">
        <v>43</v>
      </c>
      <c r="B21" s="6" t="s">
        <v>41</v>
      </c>
      <c r="C21" s="7">
        <v>3.41</v>
      </c>
      <c r="D21" s="8">
        <v>2.13</v>
      </c>
      <c r="E21" s="7">
        <v>1.25</v>
      </c>
      <c r="F21" s="8">
        <v>1.59</v>
      </c>
      <c r="G21" s="16">
        <v>3.99</v>
      </c>
      <c r="H21" s="7">
        <f t="shared" si="1"/>
        <v>2.474</v>
      </c>
      <c r="I21" s="12">
        <v>1.57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1"/>
    </row>
    <row r="22" ht="21.75" customHeight="1">
      <c r="A22" s="6" t="s">
        <v>44</v>
      </c>
      <c r="B22" s="6" t="s">
        <v>45</v>
      </c>
      <c r="C22" s="7">
        <v>2.23</v>
      </c>
      <c r="D22" s="8">
        <v>8.59</v>
      </c>
      <c r="E22" s="7">
        <v>5.49</v>
      </c>
      <c r="F22" s="8">
        <v>3.79</v>
      </c>
      <c r="G22" s="16">
        <v>2.99</v>
      </c>
      <c r="H22" s="7">
        <f t="shared" si="1"/>
        <v>4.618</v>
      </c>
      <c r="I22" s="12">
        <v>1.08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1"/>
    </row>
    <row r="23" ht="21.75" customHeight="1">
      <c r="A23" s="6" t="s">
        <v>46</v>
      </c>
      <c r="B23" s="6" t="s">
        <v>45</v>
      </c>
      <c r="C23" s="7">
        <v>2.37</v>
      </c>
      <c r="D23" s="8">
        <v>2.28</v>
      </c>
      <c r="E23" s="7">
        <v>2.49</v>
      </c>
      <c r="F23" s="8">
        <v>1.99</v>
      </c>
      <c r="G23" s="16">
        <v>0.99</v>
      </c>
      <c r="H23" s="7">
        <f t="shared" si="1"/>
        <v>2.024</v>
      </c>
      <c r="I23" s="12">
        <v>1.31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1"/>
    </row>
    <row r="24" ht="21.75" customHeight="1">
      <c r="A24" s="6" t="s">
        <v>47</v>
      </c>
      <c r="B24" s="6" t="s">
        <v>45</v>
      </c>
      <c r="C24" s="7">
        <v>3.66</v>
      </c>
      <c r="D24" s="8">
        <v>6.42</v>
      </c>
      <c r="E24" s="7">
        <v>7.99</v>
      </c>
      <c r="F24" s="8">
        <v>3.99</v>
      </c>
      <c r="G24" s="16">
        <v>2.79</v>
      </c>
      <c r="H24" s="7">
        <f t="shared" si="1"/>
        <v>4.97</v>
      </c>
      <c r="I24" s="12">
        <v>3.32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1"/>
    </row>
    <row r="25" ht="21.75" customHeight="1">
      <c r="A25" s="6" t="s">
        <v>48</v>
      </c>
      <c r="B25" s="6" t="s">
        <v>49</v>
      </c>
      <c r="C25" s="7">
        <v>3.22</v>
      </c>
      <c r="D25" s="8">
        <v>8.49</v>
      </c>
      <c r="E25" s="7">
        <v>9.59</v>
      </c>
      <c r="F25" s="8">
        <v>7.29</v>
      </c>
      <c r="G25" s="16">
        <v>4.49</v>
      </c>
      <c r="H25" s="7">
        <f t="shared" si="1"/>
        <v>6.616</v>
      </c>
      <c r="I25" s="12">
        <v>4.17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1"/>
    </row>
    <row r="26" ht="21.75" customHeight="1">
      <c r="A26" s="6" t="s">
        <v>50</v>
      </c>
      <c r="B26" s="6" t="s">
        <v>49</v>
      </c>
      <c r="C26" s="7">
        <v>6.26</v>
      </c>
      <c r="D26" s="8">
        <v>10.25</v>
      </c>
      <c r="E26" s="7">
        <v>11.99</v>
      </c>
      <c r="F26" s="8">
        <v>6.99</v>
      </c>
      <c r="G26" s="16">
        <v>6.49</v>
      </c>
      <c r="H26" s="7">
        <f t="shared" si="1"/>
        <v>8.396</v>
      </c>
      <c r="I26" s="12">
        <v>6.52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1"/>
    </row>
    <row r="27" ht="21.75" customHeight="1">
      <c r="A27" s="6" t="s">
        <v>51</v>
      </c>
      <c r="B27" s="6" t="s">
        <v>52</v>
      </c>
      <c r="C27" s="7">
        <v>1.09</v>
      </c>
      <c r="D27" s="8">
        <v>2.99</v>
      </c>
      <c r="E27" s="7">
        <v>3.19</v>
      </c>
      <c r="F27" s="8">
        <v>2.29</v>
      </c>
      <c r="G27" s="16">
        <v>1.99</v>
      </c>
      <c r="H27" s="7">
        <f t="shared" si="1"/>
        <v>2.31</v>
      </c>
      <c r="I27" s="12">
        <v>3.17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1"/>
    </row>
    <row r="28" ht="21.75" customHeight="1">
      <c r="A28" s="6" t="s">
        <v>53</v>
      </c>
      <c r="B28" s="6" t="s">
        <v>54</v>
      </c>
      <c r="C28" s="7">
        <v>1.89</v>
      </c>
      <c r="D28" s="8">
        <v>3.13</v>
      </c>
      <c r="E28" s="7">
        <v>4.29</v>
      </c>
      <c r="F28" s="8">
        <v>2.72</v>
      </c>
      <c r="G28" s="16">
        <v>2.99</v>
      </c>
      <c r="H28" s="7">
        <f t="shared" si="1"/>
        <v>3.004</v>
      </c>
      <c r="I28" s="12">
        <v>1.83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1"/>
    </row>
    <row r="29" ht="21.75" customHeight="1">
      <c r="A29" s="6" t="s">
        <v>55</v>
      </c>
      <c r="B29" s="6" t="s">
        <v>54</v>
      </c>
      <c r="C29" s="7">
        <v>1.47</v>
      </c>
      <c r="D29" s="8">
        <v>1.49</v>
      </c>
      <c r="E29" s="7">
        <v>0.99</v>
      </c>
      <c r="F29" s="8">
        <v>1.46</v>
      </c>
      <c r="G29" s="16">
        <v>3.49</v>
      </c>
      <c r="H29" s="7">
        <f t="shared" si="1"/>
        <v>1.78</v>
      </c>
      <c r="I29" s="12">
        <v>0.87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1"/>
    </row>
    <row r="30" ht="21.75" customHeight="1">
      <c r="A30" s="6" t="s">
        <v>56</v>
      </c>
      <c r="B30" s="6" t="s">
        <v>54</v>
      </c>
      <c r="C30" s="7">
        <v>1.61</v>
      </c>
      <c r="D30" s="8">
        <v>1.99</v>
      </c>
      <c r="E30" s="7">
        <v>1.99</v>
      </c>
      <c r="F30" s="8">
        <v>1.5</v>
      </c>
      <c r="G30" s="16">
        <v>3.99</v>
      </c>
      <c r="H30" s="7">
        <f t="shared" si="1"/>
        <v>2.216</v>
      </c>
      <c r="I30" s="12">
        <v>1.29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1"/>
    </row>
    <row r="31" ht="21.75" customHeight="1">
      <c r="A31" s="6" t="s">
        <v>57</v>
      </c>
      <c r="B31" s="6" t="s">
        <v>54</v>
      </c>
      <c r="C31" s="7">
        <v>3.13</v>
      </c>
      <c r="D31" s="8">
        <v>9.37</v>
      </c>
      <c r="E31" s="7">
        <v>3.99</v>
      </c>
      <c r="F31" s="8">
        <v>2.79</v>
      </c>
      <c r="G31" s="16">
        <v>1.99</v>
      </c>
      <c r="H31" s="7">
        <f t="shared" si="1"/>
        <v>4.254</v>
      </c>
      <c r="I31" s="12">
        <v>1.2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1"/>
    </row>
    <row r="32" ht="21.75" customHeight="1">
      <c r="A32" s="6" t="s">
        <v>58</v>
      </c>
      <c r="B32" s="6" t="s">
        <v>54</v>
      </c>
      <c r="C32" s="7">
        <v>2.18</v>
      </c>
      <c r="D32" s="8">
        <v>3.13</v>
      </c>
      <c r="E32" s="7">
        <v>1.49</v>
      </c>
      <c r="F32" s="8">
        <v>1.99</v>
      </c>
      <c r="G32" s="16">
        <v>1.99</v>
      </c>
      <c r="H32" s="7">
        <f t="shared" si="1"/>
        <v>2.156</v>
      </c>
      <c r="I32" s="12">
        <v>1.95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1"/>
    </row>
    <row r="33" ht="21.75" customHeight="1">
      <c r="A33" s="6" t="s">
        <v>59</v>
      </c>
      <c r="B33" s="6" t="s">
        <v>49</v>
      </c>
      <c r="C33" s="7">
        <v>5.5</v>
      </c>
      <c r="D33" s="8">
        <v>9.49</v>
      </c>
      <c r="E33" s="7">
        <v>4.29</v>
      </c>
      <c r="F33" s="8">
        <v>9.99</v>
      </c>
      <c r="G33" s="16">
        <v>7.99</v>
      </c>
      <c r="H33" s="7">
        <f t="shared" si="1"/>
        <v>7.452</v>
      </c>
      <c r="I33" s="12">
        <v>2.02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1"/>
    </row>
    <row r="34" ht="21.75" customHeight="1">
      <c r="A34" s="6" t="s">
        <v>60</v>
      </c>
      <c r="B34" s="6" t="s">
        <v>20</v>
      </c>
      <c r="C34" s="7">
        <v>3.32</v>
      </c>
      <c r="D34" s="8">
        <v>4.36</v>
      </c>
      <c r="E34" s="7">
        <v>1.25</v>
      </c>
      <c r="F34" s="8">
        <v>4.29</v>
      </c>
      <c r="G34" s="16">
        <v>2.79</v>
      </c>
      <c r="H34" s="7">
        <f t="shared" si="1"/>
        <v>3.202</v>
      </c>
      <c r="I34" s="12">
        <v>1.58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1"/>
    </row>
    <row r="35" ht="21.75" customHeight="1">
      <c r="A35" s="6"/>
      <c r="B35" s="6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1"/>
    </row>
    <row r="36" ht="21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1"/>
    </row>
    <row r="37" ht="21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1"/>
    </row>
    <row r="38" ht="21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1"/>
    </row>
    <row r="39" ht="21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1"/>
    </row>
    <row r="40" ht="21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1"/>
    </row>
    <row r="41" ht="21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1"/>
    </row>
    <row r="42" ht="21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1"/>
    </row>
    <row r="43" ht="21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1"/>
    </row>
    <row r="44" ht="21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1"/>
    </row>
    <row r="45" ht="21.75" customHeight="1">
      <c r="A45" s="5"/>
      <c r="B45" s="5"/>
      <c r="C45" s="5"/>
      <c r="D45" s="5"/>
      <c r="E45" s="5"/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1"/>
    </row>
    <row r="46" ht="21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1"/>
    </row>
    <row r="47" ht="21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1"/>
    </row>
    <row r="48" ht="21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1"/>
    </row>
    <row r="49" ht="21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1"/>
    </row>
    <row r="50" ht="21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1"/>
    </row>
    <row r="51" ht="21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1"/>
    </row>
    <row r="52" ht="21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1"/>
    </row>
    <row r="53" ht="21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1"/>
    </row>
    <row r="54" ht="21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1"/>
    </row>
    <row r="55" ht="21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1"/>
    </row>
    <row r="56" ht="21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1"/>
    </row>
    <row r="57" ht="21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1"/>
    </row>
    <row r="58" ht="21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1"/>
    </row>
    <row r="59" ht="21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1"/>
    </row>
    <row r="60" ht="21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1"/>
    </row>
    <row r="61" ht="21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1"/>
    </row>
    <row r="62" ht="21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1"/>
    </row>
    <row r="63" ht="21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1"/>
    </row>
    <row r="64" ht="21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1"/>
    </row>
    <row r="65" ht="21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1"/>
    </row>
    <row r="66" ht="21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1"/>
    </row>
    <row r="67" ht="21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1"/>
    </row>
    <row r="68" ht="21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1"/>
    </row>
    <row r="69" ht="21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1"/>
    </row>
    <row r="70" ht="21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1"/>
    </row>
    <row r="71" ht="21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1"/>
    </row>
    <row r="72" ht="21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1"/>
    </row>
    <row r="73" ht="21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1"/>
    </row>
    <row r="74" ht="21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1"/>
    </row>
    <row r="75" ht="21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1"/>
    </row>
    <row r="76" ht="21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1"/>
    </row>
    <row r="77" ht="21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1"/>
    </row>
    <row r="78" ht="21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1"/>
    </row>
    <row r="79" ht="21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1"/>
    </row>
    <row r="80" ht="21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1"/>
    </row>
    <row r="81" ht="21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1"/>
    </row>
    <row r="82" ht="21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1"/>
    </row>
    <row r="83" ht="21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1"/>
    </row>
    <row r="84" ht="21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1"/>
    </row>
    <row r="85" ht="21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1"/>
    </row>
    <row r="86" ht="21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1"/>
    </row>
    <row r="87" ht="21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1"/>
    </row>
    <row r="88" ht="21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1"/>
    </row>
    <row r="89" ht="21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1"/>
    </row>
    <row r="90" ht="21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1"/>
    </row>
    <row r="91" ht="21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1"/>
    </row>
    <row r="92" ht="21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1"/>
    </row>
    <row r="93" ht="21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1"/>
    </row>
    <row r="94" ht="21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1"/>
    </row>
    <row r="95" ht="21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1"/>
    </row>
    <row r="96" ht="21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1"/>
    </row>
    <row r="97" ht="21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1"/>
    </row>
    <row r="98" ht="21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1"/>
    </row>
    <row r="99" ht="21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1"/>
    </row>
    <row r="100" ht="21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1"/>
    </row>
    <row r="101" ht="21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1"/>
    </row>
    <row r="102" ht="21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1"/>
    </row>
    <row r="103" ht="21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1"/>
    </row>
    <row r="104" ht="21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1"/>
    </row>
    <row r="105" ht="21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1"/>
    </row>
    <row r="106" ht="21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1"/>
    </row>
    <row r="107" ht="21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1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1"/>
    </row>
    <row r="109" ht="21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1"/>
    </row>
    <row r="110" ht="21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1"/>
    </row>
    <row r="111" ht="21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1"/>
    </row>
    <row r="112" ht="21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1"/>
    </row>
    <row r="113" ht="21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1"/>
    </row>
    <row r="114" ht="21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1"/>
    </row>
    <row r="115" ht="21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1"/>
    </row>
    <row r="116" ht="21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1"/>
    </row>
    <row r="117" ht="21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1"/>
    </row>
    <row r="118" ht="21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1"/>
    </row>
    <row r="119" ht="21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1"/>
    </row>
    <row r="120" ht="21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1"/>
    </row>
    <row r="121" ht="21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ht="21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ht="21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1"/>
    </row>
    <row r="124" ht="21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1"/>
    </row>
    <row r="125" ht="21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1"/>
    </row>
    <row r="126" ht="21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1"/>
    </row>
    <row r="127" ht="21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1"/>
    </row>
    <row r="128" ht="21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1"/>
    </row>
    <row r="129" ht="21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1"/>
    </row>
    <row r="130" ht="21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1"/>
    </row>
    <row r="131" ht="21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1"/>
    </row>
    <row r="132" ht="21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1"/>
    </row>
    <row r="133" ht="21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1"/>
    </row>
    <row r="134" ht="21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1"/>
    </row>
    <row r="135" ht="21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1"/>
    </row>
    <row r="136" ht="21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1"/>
    </row>
    <row r="137" ht="21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1"/>
    </row>
    <row r="138" ht="21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1"/>
    </row>
    <row r="139" ht="21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1"/>
    </row>
    <row r="140" ht="21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1"/>
    </row>
    <row r="141" ht="21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1"/>
    </row>
    <row r="142" ht="21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1"/>
    </row>
    <row r="143" ht="21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1"/>
    </row>
    <row r="144" ht="21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1"/>
    </row>
    <row r="145" ht="21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1"/>
    </row>
    <row r="146" ht="21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1"/>
    </row>
    <row r="147" ht="21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1"/>
    </row>
    <row r="148" ht="21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1"/>
    </row>
    <row r="149" ht="21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1"/>
    </row>
    <row r="150" ht="21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1"/>
    </row>
    <row r="151" ht="21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1"/>
    </row>
    <row r="152" ht="21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1"/>
    </row>
    <row r="153" ht="21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1"/>
    </row>
    <row r="154" ht="21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1"/>
    </row>
    <row r="155" ht="21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1"/>
    </row>
    <row r="156" ht="21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1"/>
    </row>
    <row r="157" ht="21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1"/>
    </row>
    <row r="158" ht="21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1"/>
    </row>
    <row r="159" ht="21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1"/>
    </row>
    <row r="160" ht="21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1"/>
    </row>
    <row r="161" ht="21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1"/>
    </row>
    <row r="162" ht="21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1"/>
    </row>
    <row r="163" ht="21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1"/>
    </row>
    <row r="164" ht="21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1"/>
    </row>
    <row r="165" ht="21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1"/>
    </row>
    <row r="166" ht="21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1"/>
    </row>
    <row r="167" ht="21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1"/>
    </row>
    <row r="168" ht="21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1"/>
    </row>
    <row r="169" ht="21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1"/>
    </row>
    <row r="170" ht="21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1"/>
    </row>
    <row r="171" ht="21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1"/>
    </row>
    <row r="172" ht="21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1"/>
    </row>
    <row r="173" ht="21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1"/>
    </row>
    <row r="174" ht="21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1"/>
    </row>
    <row r="175" ht="21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1"/>
    </row>
    <row r="176" ht="21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1"/>
    </row>
    <row r="177" ht="21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1"/>
    </row>
    <row r="178" ht="21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1"/>
    </row>
    <row r="179" ht="21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1"/>
    </row>
    <row r="180" ht="21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1"/>
    </row>
    <row r="181" ht="21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1"/>
    </row>
    <row r="182" ht="21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1"/>
    </row>
    <row r="183" ht="21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1"/>
    </row>
    <row r="184" ht="21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1"/>
    </row>
    <row r="185" ht="21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1"/>
    </row>
    <row r="186" ht="21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1"/>
    </row>
    <row r="187" ht="21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1"/>
    </row>
    <row r="188" ht="21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1"/>
    </row>
    <row r="189" ht="21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1"/>
    </row>
    <row r="190" ht="21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1"/>
    </row>
    <row r="191" ht="21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1"/>
    </row>
    <row r="192" ht="21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1"/>
    </row>
    <row r="193" ht="21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1"/>
    </row>
    <row r="194" ht="21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1"/>
    </row>
    <row r="195" ht="21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1"/>
    </row>
    <row r="196" ht="21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1"/>
    </row>
    <row r="197" ht="21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1"/>
    </row>
    <row r="198" ht="21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1"/>
    </row>
    <row r="199" ht="21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1"/>
    </row>
    <row r="200" ht="21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1"/>
    </row>
    <row r="201" ht="21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ht="21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1"/>
    </row>
    <row r="203" ht="21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1"/>
    </row>
    <row r="204" ht="21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ht="21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1"/>
    </row>
    <row r="206" ht="21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1"/>
    </row>
    <row r="207" ht="21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1"/>
    </row>
    <row r="208" ht="21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1"/>
    </row>
    <row r="209" ht="21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1"/>
    </row>
    <row r="210" ht="21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1"/>
    </row>
    <row r="211" ht="21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1"/>
    </row>
    <row r="212" ht="21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1"/>
    </row>
    <row r="213" ht="21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1"/>
    </row>
    <row r="214" ht="21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1"/>
    </row>
    <row r="215" ht="21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1"/>
    </row>
    <row r="216" ht="21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1"/>
    </row>
    <row r="217" ht="21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1"/>
    </row>
    <row r="218" ht="21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1"/>
    </row>
    <row r="219" ht="21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1"/>
    </row>
    <row r="220" ht="21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1"/>
    </row>
    <row r="221" ht="21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1"/>
    </row>
    <row r="222" ht="21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1"/>
    </row>
    <row r="223" ht="21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1"/>
    </row>
    <row r="224" ht="21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1"/>
    </row>
    <row r="225" ht="21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1"/>
    </row>
    <row r="226" ht="21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1"/>
    </row>
    <row r="227" ht="21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1"/>
    </row>
    <row r="228" ht="21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1"/>
    </row>
    <row r="229" ht="21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1"/>
    </row>
    <row r="230" ht="21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1"/>
    </row>
    <row r="231" ht="21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1"/>
    </row>
    <row r="232" ht="21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1"/>
    </row>
    <row r="233" ht="21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1"/>
    </row>
    <row r="234" ht="21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1"/>
    </row>
    <row r="235" ht="21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ht="21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1"/>
    </row>
    <row r="237" ht="21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1"/>
    </row>
    <row r="238" ht="21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1"/>
    </row>
    <row r="239" ht="21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1"/>
    </row>
    <row r="240" ht="21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1"/>
    </row>
    <row r="241" ht="21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1"/>
    </row>
    <row r="242" ht="21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1"/>
    </row>
    <row r="243" ht="21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1"/>
    </row>
    <row r="244" ht="21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1"/>
    </row>
    <row r="245" ht="21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1"/>
    </row>
    <row r="246" ht="21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1"/>
    </row>
    <row r="247" ht="21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1"/>
    </row>
    <row r="248" ht="21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1"/>
    </row>
    <row r="249" ht="21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1"/>
    </row>
    <row r="250" ht="21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1"/>
    </row>
    <row r="251" ht="21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1"/>
    </row>
    <row r="252" ht="21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1"/>
    </row>
    <row r="253" ht="21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1"/>
    </row>
    <row r="254" ht="21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11"/>
    </row>
    <row r="255" ht="21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11"/>
    </row>
    <row r="256" ht="21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11"/>
    </row>
    <row r="257" ht="21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11"/>
    </row>
    <row r="258" ht="21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11"/>
    </row>
    <row r="259" ht="21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11"/>
    </row>
    <row r="260" ht="21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11"/>
    </row>
    <row r="261" ht="21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11"/>
    </row>
    <row r="262" ht="21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11"/>
    </row>
    <row r="263" ht="21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11"/>
    </row>
    <row r="264" ht="21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11"/>
    </row>
    <row r="265" ht="21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11"/>
    </row>
    <row r="266" ht="21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11"/>
    </row>
    <row r="267" ht="21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11"/>
    </row>
    <row r="268" ht="21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11"/>
    </row>
    <row r="269" ht="21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11"/>
    </row>
    <row r="270" ht="21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11"/>
    </row>
    <row r="271" ht="21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11"/>
    </row>
    <row r="272" ht="21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11"/>
    </row>
    <row r="273" ht="21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11"/>
    </row>
    <row r="274" ht="21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11"/>
    </row>
    <row r="275" ht="21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11"/>
    </row>
    <row r="276" ht="21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11"/>
    </row>
    <row r="277" ht="21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11"/>
    </row>
    <row r="278" ht="21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11"/>
    </row>
    <row r="279" ht="21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11"/>
    </row>
    <row r="280" ht="21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11"/>
    </row>
    <row r="281" ht="21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11"/>
    </row>
    <row r="282" ht="21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11"/>
    </row>
    <row r="283" ht="21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11"/>
    </row>
    <row r="284" ht="21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11"/>
    </row>
    <row r="285" ht="21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11"/>
    </row>
    <row r="286" ht="21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11"/>
    </row>
    <row r="287" ht="21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11"/>
    </row>
    <row r="288" ht="21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11"/>
    </row>
    <row r="289" ht="21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11"/>
    </row>
    <row r="290" ht="21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11"/>
    </row>
    <row r="291" ht="21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11"/>
    </row>
    <row r="292" ht="21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11"/>
    </row>
    <row r="293" ht="21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11"/>
    </row>
    <row r="294" ht="21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11"/>
    </row>
    <row r="295" ht="21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11"/>
    </row>
    <row r="296" ht="21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11"/>
    </row>
    <row r="297" ht="21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11"/>
    </row>
    <row r="298" ht="21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11"/>
    </row>
    <row r="299" ht="21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11"/>
    </row>
    <row r="300" ht="21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11"/>
    </row>
    <row r="301" ht="21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11"/>
    </row>
    <row r="302" ht="21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11"/>
    </row>
    <row r="303" ht="21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11"/>
    </row>
    <row r="304" ht="21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11"/>
    </row>
    <row r="305" ht="21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11"/>
    </row>
    <row r="306" ht="21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11"/>
    </row>
    <row r="307" ht="21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11"/>
    </row>
    <row r="308" ht="21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11"/>
    </row>
    <row r="309" ht="21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11"/>
    </row>
    <row r="310" ht="21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11"/>
    </row>
    <row r="311" ht="21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11"/>
    </row>
    <row r="312" ht="21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11"/>
    </row>
    <row r="313" ht="21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11"/>
    </row>
    <row r="314" ht="21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11"/>
    </row>
    <row r="315" ht="21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ht="21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11"/>
    </row>
    <row r="317" ht="21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11"/>
    </row>
    <row r="318" ht="21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11"/>
    </row>
    <row r="319" ht="21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11"/>
    </row>
    <row r="320" ht="21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11"/>
    </row>
    <row r="321" ht="21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11"/>
    </row>
    <row r="322" ht="21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11"/>
    </row>
    <row r="323" ht="21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11"/>
    </row>
    <row r="324" ht="21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11"/>
    </row>
    <row r="325" ht="21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11"/>
    </row>
    <row r="326" ht="21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11"/>
    </row>
    <row r="327" ht="21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11"/>
    </row>
    <row r="328" ht="21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11"/>
    </row>
    <row r="329" ht="21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11"/>
    </row>
    <row r="330" ht="21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11"/>
    </row>
    <row r="331" ht="21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11"/>
    </row>
    <row r="332" ht="21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11"/>
    </row>
    <row r="333" ht="21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11"/>
    </row>
    <row r="334" ht="21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11"/>
    </row>
    <row r="335" ht="21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11"/>
    </row>
    <row r="336" ht="21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11"/>
    </row>
    <row r="337" ht="21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11"/>
    </row>
    <row r="338" ht="21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11"/>
    </row>
    <row r="339" ht="21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11"/>
    </row>
    <row r="340" ht="21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11"/>
    </row>
    <row r="341" ht="21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11"/>
    </row>
    <row r="342" ht="21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11"/>
    </row>
    <row r="343" ht="21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11"/>
    </row>
    <row r="344" ht="21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11"/>
    </row>
    <row r="345" ht="21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11"/>
    </row>
    <row r="346" ht="21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11"/>
    </row>
    <row r="347" ht="21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11"/>
    </row>
    <row r="348" ht="21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11"/>
    </row>
    <row r="349" ht="21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11"/>
    </row>
    <row r="350" ht="21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11"/>
    </row>
    <row r="351" ht="21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11"/>
    </row>
    <row r="352" ht="21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11"/>
    </row>
    <row r="353" ht="21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11"/>
    </row>
    <row r="354" ht="21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11"/>
    </row>
    <row r="355" ht="21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11"/>
    </row>
    <row r="356" ht="21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11"/>
    </row>
    <row r="357" ht="21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11"/>
    </row>
    <row r="358" ht="21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ht="21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11"/>
    </row>
    <row r="360" ht="21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11"/>
    </row>
    <row r="361" ht="21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11"/>
    </row>
    <row r="362" ht="21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11"/>
    </row>
    <row r="363" ht="21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11"/>
    </row>
    <row r="364" ht="21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11"/>
    </row>
    <row r="365" ht="21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11"/>
    </row>
    <row r="366" ht="21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11"/>
    </row>
    <row r="367" ht="21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11"/>
    </row>
    <row r="368" ht="21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11"/>
    </row>
    <row r="369" ht="21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11"/>
    </row>
    <row r="370" ht="21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11"/>
    </row>
    <row r="371" ht="21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11"/>
    </row>
    <row r="372" ht="21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11"/>
    </row>
    <row r="373" ht="21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11"/>
    </row>
    <row r="374" ht="21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11"/>
    </row>
    <row r="375" ht="21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11"/>
    </row>
    <row r="376" ht="21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11"/>
    </row>
    <row r="377" ht="21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11"/>
    </row>
    <row r="378" ht="21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11"/>
    </row>
    <row r="379" ht="21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11"/>
    </row>
    <row r="380" ht="21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11"/>
    </row>
    <row r="381" ht="21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11"/>
    </row>
    <row r="382" ht="21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11"/>
    </row>
    <row r="383" ht="21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11"/>
    </row>
    <row r="384" ht="21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11"/>
    </row>
    <row r="385" ht="21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11"/>
    </row>
    <row r="386" ht="21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11"/>
    </row>
    <row r="387" ht="21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11"/>
    </row>
    <row r="388" ht="21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11"/>
    </row>
    <row r="389" ht="21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11"/>
    </row>
    <row r="390" ht="21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11"/>
    </row>
    <row r="391" ht="21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11"/>
    </row>
    <row r="392" ht="21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11"/>
    </row>
    <row r="393" ht="21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11"/>
    </row>
    <row r="394" ht="21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11"/>
    </row>
    <row r="395" ht="21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11"/>
    </row>
    <row r="396" ht="21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11"/>
    </row>
    <row r="397" ht="21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11"/>
    </row>
    <row r="398" ht="21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11"/>
    </row>
    <row r="399" ht="21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11"/>
    </row>
    <row r="400" ht="21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11"/>
    </row>
    <row r="401" ht="21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11"/>
    </row>
    <row r="402" ht="21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11"/>
    </row>
    <row r="403" ht="21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11"/>
    </row>
    <row r="404" ht="21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11"/>
    </row>
    <row r="405" ht="21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11"/>
    </row>
    <row r="406" ht="21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11"/>
    </row>
    <row r="407" ht="21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11"/>
    </row>
    <row r="408" ht="21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11"/>
    </row>
    <row r="409" ht="21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11"/>
    </row>
    <row r="410" ht="21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11"/>
    </row>
    <row r="411" ht="21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11"/>
    </row>
    <row r="412" ht="21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11"/>
    </row>
    <row r="413" ht="21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11"/>
    </row>
    <row r="414" ht="21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11"/>
    </row>
    <row r="415" ht="21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11"/>
    </row>
    <row r="416" ht="21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11"/>
    </row>
    <row r="417" ht="21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11"/>
    </row>
    <row r="418" ht="21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11"/>
    </row>
    <row r="419" ht="21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11"/>
    </row>
    <row r="420" ht="21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11"/>
    </row>
    <row r="421" ht="21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ht="21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ht="21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11"/>
    </row>
    <row r="424" ht="21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11"/>
    </row>
    <row r="425" ht="21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11"/>
    </row>
    <row r="426" ht="21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11"/>
    </row>
    <row r="427" ht="21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11"/>
    </row>
    <row r="428" ht="21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11"/>
    </row>
    <row r="429" ht="21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11"/>
    </row>
    <row r="430" ht="21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11"/>
    </row>
    <row r="431" ht="21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11"/>
    </row>
    <row r="432" ht="21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11"/>
    </row>
    <row r="433" ht="21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11"/>
    </row>
    <row r="434" ht="21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11"/>
    </row>
    <row r="435" ht="21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11"/>
    </row>
    <row r="436" ht="21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11"/>
    </row>
    <row r="437" ht="21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11"/>
    </row>
    <row r="438" ht="21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11"/>
    </row>
    <row r="439" ht="21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11"/>
    </row>
    <row r="440" ht="21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11"/>
    </row>
    <row r="441" ht="21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11"/>
    </row>
    <row r="442" ht="21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11"/>
    </row>
    <row r="443" ht="21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11"/>
    </row>
    <row r="444" ht="21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11"/>
    </row>
    <row r="445" ht="21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11"/>
    </row>
    <row r="446" ht="21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11"/>
    </row>
    <row r="447" ht="21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11"/>
    </row>
    <row r="448" ht="21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11"/>
    </row>
    <row r="449" ht="21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11"/>
    </row>
    <row r="450" ht="21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11"/>
    </row>
    <row r="451" ht="21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11"/>
    </row>
    <row r="452" ht="21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11"/>
    </row>
    <row r="453" ht="21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11"/>
    </row>
    <row r="454" ht="21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11"/>
    </row>
    <row r="455" ht="21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11"/>
    </row>
    <row r="456" ht="21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11"/>
    </row>
    <row r="457" ht="21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11"/>
    </row>
    <row r="458" ht="21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11"/>
    </row>
    <row r="459" ht="21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11"/>
    </row>
    <row r="460" ht="21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11"/>
    </row>
    <row r="461" ht="21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11"/>
    </row>
    <row r="462" ht="21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11"/>
    </row>
    <row r="463" ht="21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11"/>
    </row>
    <row r="464" ht="21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11"/>
    </row>
    <row r="465" ht="21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11"/>
    </row>
    <row r="466" ht="21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11"/>
    </row>
    <row r="467" ht="21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11"/>
    </row>
    <row r="468" ht="21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11"/>
    </row>
    <row r="469" ht="21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11"/>
    </row>
    <row r="470" ht="21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11"/>
    </row>
    <row r="471" ht="21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11"/>
    </row>
    <row r="472" ht="21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11"/>
    </row>
    <row r="473" ht="21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11"/>
    </row>
    <row r="474" ht="21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11"/>
    </row>
    <row r="475" ht="21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11"/>
    </row>
    <row r="476" ht="21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11"/>
    </row>
    <row r="477" ht="21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11"/>
    </row>
    <row r="478" ht="21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11"/>
    </row>
    <row r="479" ht="21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11"/>
    </row>
    <row r="480" ht="21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11"/>
    </row>
    <row r="481" ht="21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11"/>
    </row>
    <row r="482" ht="21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11"/>
    </row>
    <row r="483" ht="21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11"/>
    </row>
    <row r="484" ht="21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11"/>
    </row>
    <row r="485" ht="21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11"/>
    </row>
    <row r="486" ht="21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11"/>
    </row>
    <row r="487" ht="21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11"/>
    </row>
    <row r="488" ht="21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11"/>
    </row>
    <row r="489" ht="21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11"/>
    </row>
    <row r="490" ht="21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11"/>
    </row>
    <row r="491" ht="21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11"/>
    </row>
    <row r="492" ht="21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11"/>
    </row>
    <row r="493" ht="21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11"/>
    </row>
    <row r="494" ht="21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11"/>
    </row>
    <row r="495" ht="21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11"/>
    </row>
    <row r="496" ht="21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11"/>
    </row>
    <row r="497" ht="21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11"/>
    </row>
    <row r="498" ht="21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11"/>
    </row>
    <row r="499" ht="21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11"/>
    </row>
    <row r="500" ht="21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11"/>
    </row>
    <row r="501" ht="21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11"/>
    </row>
    <row r="502" ht="21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11"/>
    </row>
    <row r="503" ht="21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11"/>
    </row>
    <row r="504" ht="21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11"/>
    </row>
    <row r="505" ht="21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11"/>
    </row>
    <row r="506" ht="21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11"/>
    </row>
    <row r="507" ht="21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11"/>
    </row>
    <row r="508" ht="21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11"/>
    </row>
    <row r="509" ht="21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11"/>
    </row>
    <row r="510" ht="21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11"/>
    </row>
    <row r="511" ht="21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11"/>
    </row>
    <row r="512" ht="21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11"/>
    </row>
    <row r="513" ht="21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11"/>
    </row>
    <row r="514" ht="21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11"/>
    </row>
    <row r="515" ht="21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11"/>
    </row>
    <row r="516" ht="21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11"/>
    </row>
    <row r="517" ht="21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11"/>
    </row>
    <row r="518" ht="21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11"/>
    </row>
    <row r="519" ht="21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11"/>
    </row>
    <row r="520" ht="21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11"/>
    </row>
    <row r="521" ht="21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11"/>
    </row>
    <row r="522" ht="21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11"/>
    </row>
    <row r="523" ht="21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11"/>
    </row>
    <row r="524" ht="21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11"/>
    </row>
    <row r="525" ht="21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11"/>
    </row>
    <row r="526" ht="21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11"/>
    </row>
    <row r="527" ht="21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11"/>
    </row>
    <row r="528" ht="21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11"/>
    </row>
    <row r="529" ht="21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11"/>
    </row>
    <row r="530" ht="21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11"/>
    </row>
    <row r="531" ht="21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11"/>
    </row>
    <row r="532" ht="21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11"/>
    </row>
    <row r="533" ht="21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11"/>
    </row>
    <row r="534" ht="21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11"/>
    </row>
    <row r="535" ht="21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11"/>
    </row>
    <row r="536" ht="21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11"/>
    </row>
    <row r="537" ht="21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ht="21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11"/>
    </row>
    <row r="539" ht="21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11"/>
    </row>
    <row r="540" ht="21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11"/>
    </row>
    <row r="541" ht="21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11"/>
    </row>
    <row r="542" ht="21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11"/>
    </row>
    <row r="543" ht="21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11"/>
    </row>
    <row r="544" ht="21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11"/>
    </row>
    <row r="545" ht="21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11"/>
    </row>
    <row r="546" ht="21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11"/>
    </row>
    <row r="547" ht="21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11"/>
    </row>
    <row r="548" ht="21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11"/>
    </row>
    <row r="549" ht="21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11"/>
    </row>
    <row r="550" ht="21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11"/>
    </row>
    <row r="551" ht="21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11"/>
    </row>
    <row r="552" ht="21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11"/>
    </row>
    <row r="553" ht="21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11"/>
    </row>
    <row r="554" ht="21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11"/>
    </row>
    <row r="555" ht="21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11"/>
    </row>
    <row r="556" ht="21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11"/>
    </row>
    <row r="557" ht="21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11"/>
    </row>
    <row r="558" ht="21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11"/>
    </row>
    <row r="559" ht="21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11"/>
    </row>
    <row r="560" ht="21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11"/>
    </row>
    <row r="561" ht="21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11"/>
    </row>
    <row r="562" ht="21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11"/>
    </row>
    <row r="563" ht="21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11"/>
    </row>
    <row r="564" ht="21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11"/>
    </row>
    <row r="565" ht="21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11"/>
    </row>
    <row r="566" ht="21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11"/>
    </row>
    <row r="567" ht="21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11"/>
    </row>
    <row r="568" ht="21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11"/>
    </row>
    <row r="569" ht="21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11"/>
    </row>
    <row r="570" ht="21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11"/>
    </row>
    <row r="571" ht="21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11"/>
    </row>
    <row r="572" ht="21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11"/>
    </row>
    <row r="573" ht="21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11"/>
    </row>
    <row r="574" ht="21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11"/>
    </row>
    <row r="575" ht="21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11"/>
    </row>
    <row r="576" ht="21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11"/>
    </row>
    <row r="577" ht="21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11"/>
    </row>
    <row r="578" ht="21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11"/>
    </row>
    <row r="579" ht="21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11"/>
    </row>
    <row r="580" ht="21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11"/>
    </row>
    <row r="581" ht="21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11"/>
    </row>
    <row r="582" ht="21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11"/>
    </row>
    <row r="583" ht="21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11"/>
    </row>
    <row r="584" ht="21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11"/>
    </row>
    <row r="585" ht="21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11"/>
    </row>
    <row r="586" ht="2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11"/>
    </row>
    <row r="587" ht="21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11"/>
    </row>
    <row r="588" ht="21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11"/>
    </row>
    <row r="589" ht="21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11"/>
    </row>
    <row r="590" ht="21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11"/>
    </row>
    <row r="591" ht="21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11"/>
    </row>
    <row r="592" ht="21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11"/>
    </row>
    <row r="593" ht="21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11"/>
    </row>
    <row r="594" ht="21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11"/>
    </row>
    <row r="595" ht="21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11"/>
    </row>
    <row r="596" ht="21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11"/>
    </row>
    <row r="597" ht="21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11"/>
    </row>
    <row r="598" ht="21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11"/>
    </row>
    <row r="599" ht="21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11"/>
    </row>
    <row r="600" ht="21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11"/>
    </row>
    <row r="601" ht="21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11"/>
    </row>
    <row r="602" ht="21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11"/>
    </row>
    <row r="603" ht="21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11"/>
    </row>
    <row r="604" ht="21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11"/>
    </row>
    <row r="605" ht="21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11"/>
    </row>
    <row r="606" ht="21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11"/>
    </row>
    <row r="607" ht="21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11"/>
    </row>
    <row r="608" ht="21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11"/>
    </row>
    <row r="609" ht="21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11"/>
    </row>
    <row r="610" ht="21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11"/>
    </row>
    <row r="611" ht="21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11"/>
    </row>
    <row r="612" ht="21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11"/>
    </row>
    <row r="613" ht="21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11"/>
    </row>
    <row r="614" ht="21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11"/>
    </row>
    <row r="615" ht="21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11"/>
    </row>
    <row r="616" ht="21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11"/>
    </row>
    <row r="617" ht="21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11"/>
    </row>
    <row r="618" ht="21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11"/>
    </row>
    <row r="619" ht="21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11"/>
    </row>
    <row r="620" ht="21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11"/>
    </row>
    <row r="621" ht="21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11"/>
    </row>
    <row r="622" ht="21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11"/>
    </row>
    <row r="623" ht="21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11"/>
    </row>
    <row r="624" ht="21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11"/>
    </row>
    <row r="625" ht="21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11"/>
    </row>
    <row r="626" ht="21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11"/>
    </row>
    <row r="627" ht="21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11"/>
    </row>
    <row r="628" ht="21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11"/>
    </row>
    <row r="629" ht="21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11"/>
    </row>
    <row r="630" ht="21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11"/>
    </row>
    <row r="631" ht="21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11"/>
    </row>
    <row r="632" ht="21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11"/>
    </row>
    <row r="633" ht="21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11"/>
    </row>
    <row r="634" ht="21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11"/>
    </row>
    <row r="635" ht="21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11"/>
    </row>
    <row r="636" ht="21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ht="21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11"/>
    </row>
    <row r="638" ht="21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11"/>
    </row>
    <row r="639" ht="21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11"/>
    </row>
    <row r="640" ht="21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11"/>
    </row>
    <row r="641" ht="21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11"/>
    </row>
    <row r="642" ht="21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11"/>
    </row>
    <row r="643" ht="21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11"/>
    </row>
    <row r="644" ht="21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11"/>
    </row>
    <row r="645" ht="21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11"/>
    </row>
    <row r="646" ht="21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11"/>
    </row>
    <row r="647" ht="21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11"/>
    </row>
    <row r="648" ht="21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11"/>
    </row>
    <row r="649" ht="21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11"/>
    </row>
    <row r="650" ht="21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11"/>
    </row>
    <row r="651" ht="21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11"/>
    </row>
    <row r="652" ht="21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11"/>
    </row>
    <row r="653" ht="21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11"/>
    </row>
    <row r="654" ht="21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11"/>
    </row>
    <row r="655" ht="21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11"/>
    </row>
    <row r="656" ht="21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11"/>
    </row>
    <row r="657" ht="21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11"/>
    </row>
    <row r="658" ht="21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11"/>
    </row>
    <row r="659" ht="21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11"/>
    </row>
    <row r="660" ht="21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11"/>
    </row>
    <row r="661" ht="21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11"/>
    </row>
    <row r="662" ht="21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11"/>
    </row>
    <row r="663" ht="21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11"/>
    </row>
    <row r="664" ht="21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11"/>
    </row>
    <row r="665" ht="21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ht="21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11"/>
    </row>
    <row r="667" ht="21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11"/>
    </row>
    <row r="668" ht="21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11"/>
    </row>
    <row r="669" ht="21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11"/>
    </row>
    <row r="670" ht="21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ht="21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11"/>
    </row>
    <row r="672" ht="21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11"/>
    </row>
    <row r="673" ht="21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11"/>
    </row>
    <row r="674" ht="21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11"/>
    </row>
    <row r="675" ht="21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11"/>
    </row>
    <row r="676" ht="21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11"/>
    </row>
    <row r="677" ht="21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11"/>
    </row>
    <row r="678" ht="21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11"/>
    </row>
    <row r="679" ht="21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11"/>
    </row>
    <row r="680" ht="21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11"/>
    </row>
    <row r="681" ht="21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11"/>
    </row>
    <row r="682" ht="21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11"/>
    </row>
    <row r="683" ht="21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11"/>
    </row>
    <row r="684" ht="21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11"/>
    </row>
    <row r="685" ht="21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11"/>
    </row>
    <row r="686" ht="21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11"/>
    </row>
    <row r="687" ht="21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11"/>
    </row>
    <row r="688" ht="21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11"/>
    </row>
    <row r="689" ht="21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11"/>
    </row>
    <row r="690" ht="21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11"/>
    </row>
    <row r="691" ht="21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11"/>
    </row>
    <row r="692" ht="21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11"/>
    </row>
    <row r="693" ht="21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11"/>
    </row>
    <row r="694" ht="21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11"/>
    </row>
    <row r="695" ht="21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11"/>
    </row>
    <row r="696" ht="21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11"/>
    </row>
    <row r="697" ht="21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11"/>
    </row>
    <row r="698" ht="21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11"/>
    </row>
    <row r="699" ht="21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11"/>
    </row>
    <row r="700" ht="21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11"/>
    </row>
    <row r="701" ht="21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11"/>
    </row>
    <row r="702" ht="21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11"/>
    </row>
    <row r="703" ht="21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11"/>
    </row>
    <row r="704" ht="21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11"/>
    </row>
    <row r="705" ht="21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11"/>
    </row>
    <row r="706" ht="21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11"/>
    </row>
    <row r="707" ht="21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11"/>
    </row>
    <row r="708" ht="21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11"/>
    </row>
    <row r="709" ht="21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11"/>
    </row>
    <row r="710" ht="21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11"/>
    </row>
    <row r="711" ht="21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11"/>
    </row>
    <row r="712" ht="21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11"/>
    </row>
    <row r="713" ht="21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11"/>
    </row>
    <row r="714" ht="21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11"/>
    </row>
    <row r="715" ht="21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11"/>
    </row>
    <row r="716" ht="21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11"/>
    </row>
    <row r="717" ht="21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11"/>
    </row>
    <row r="718" ht="21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11"/>
    </row>
    <row r="719" ht="21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11"/>
    </row>
    <row r="720" ht="21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11"/>
    </row>
    <row r="721" ht="21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11"/>
    </row>
    <row r="722" ht="21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11"/>
    </row>
    <row r="723" ht="21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11"/>
    </row>
    <row r="724" ht="21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11"/>
    </row>
    <row r="725" ht="21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11"/>
    </row>
    <row r="726" ht="21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11"/>
    </row>
    <row r="727" ht="21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11"/>
    </row>
    <row r="728" ht="21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11"/>
    </row>
    <row r="729" ht="21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11"/>
    </row>
    <row r="730" ht="21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11"/>
    </row>
    <row r="731" ht="21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11"/>
    </row>
    <row r="732" ht="21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11"/>
    </row>
    <row r="733" ht="21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11"/>
    </row>
    <row r="734" ht="21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11"/>
    </row>
    <row r="735" ht="21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11"/>
    </row>
    <row r="736" ht="21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11"/>
    </row>
    <row r="737" ht="21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11"/>
    </row>
    <row r="738" ht="21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11"/>
    </row>
    <row r="739" ht="21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11"/>
    </row>
    <row r="740" ht="21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ht="21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11"/>
    </row>
    <row r="742" ht="21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11"/>
    </row>
    <row r="743" ht="21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11"/>
    </row>
    <row r="744" ht="21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11"/>
    </row>
    <row r="745" ht="21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11"/>
    </row>
    <row r="746" ht="21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11"/>
    </row>
    <row r="747" ht="21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11"/>
    </row>
    <row r="748" ht="21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11"/>
    </row>
    <row r="749" ht="21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11"/>
    </row>
    <row r="750" ht="21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11"/>
    </row>
    <row r="751" ht="21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11"/>
    </row>
    <row r="752" ht="21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11"/>
    </row>
    <row r="753" ht="21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11"/>
    </row>
    <row r="754" ht="21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11"/>
    </row>
    <row r="755" ht="21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11"/>
    </row>
    <row r="756" ht="21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11"/>
    </row>
    <row r="757" ht="21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11"/>
    </row>
    <row r="758" ht="21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11"/>
    </row>
    <row r="759" ht="21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11"/>
    </row>
    <row r="760" ht="21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11"/>
    </row>
    <row r="761" ht="21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11"/>
    </row>
    <row r="762" ht="21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11"/>
    </row>
    <row r="763" ht="21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11"/>
    </row>
    <row r="764" ht="21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11"/>
    </row>
    <row r="765" ht="21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11"/>
    </row>
    <row r="766" ht="21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11"/>
    </row>
    <row r="767" ht="21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11"/>
    </row>
    <row r="768" ht="21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11"/>
    </row>
    <row r="769" ht="21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11"/>
    </row>
    <row r="770" ht="21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11"/>
    </row>
    <row r="771" ht="21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11"/>
    </row>
    <row r="772" ht="21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11"/>
    </row>
    <row r="773" ht="21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11"/>
    </row>
    <row r="774" ht="21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11"/>
    </row>
    <row r="775" ht="21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11"/>
    </row>
    <row r="776" ht="21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11"/>
    </row>
    <row r="777" ht="21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11"/>
    </row>
    <row r="778" ht="21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11"/>
    </row>
    <row r="779" ht="21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11"/>
    </row>
    <row r="780" ht="21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11"/>
    </row>
    <row r="781" ht="21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ht="21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11"/>
    </row>
    <row r="783" ht="21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11"/>
    </row>
    <row r="784" ht="21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11"/>
    </row>
    <row r="785" ht="21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11"/>
    </row>
    <row r="786" ht="21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11"/>
    </row>
    <row r="787" ht="21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11"/>
    </row>
    <row r="788" ht="21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11"/>
    </row>
    <row r="789" ht="21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11"/>
    </row>
    <row r="790" ht="21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11"/>
    </row>
    <row r="791" ht="21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11"/>
    </row>
    <row r="792" ht="21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11"/>
    </row>
    <row r="793" ht="21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11"/>
    </row>
    <row r="794" ht="21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11"/>
    </row>
    <row r="795" ht="21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11"/>
    </row>
    <row r="796" ht="21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11"/>
    </row>
    <row r="797" ht="21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11"/>
    </row>
    <row r="798" ht="21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11"/>
    </row>
    <row r="799" ht="21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11"/>
    </row>
    <row r="800" ht="21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11"/>
    </row>
    <row r="801" ht="21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11"/>
    </row>
    <row r="802" ht="21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11"/>
    </row>
    <row r="803" ht="21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11"/>
    </row>
    <row r="804" ht="21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11"/>
    </row>
    <row r="805" ht="21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11"/>
    </row>
    <row r="806" ht="21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11"/>
    </row>
    <row r="807" ht="21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11"/>
    </row>
    <row r="808" ht="21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11"/>
    </row>
    <row r="809" ht="21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11"/>
    </row>
    <row r="810" ht="21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11"/>
    </row>
    <row r="811" ht="21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11"/>
    </row>
    <row r="812" ht="21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11"/>
    </row>
    <row r="813" ht="21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11"/>
    </row>
    <row r="814" ht="21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11"/>
    </row>
    <row r="815" ht="21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11"/>
    </row>
    <row r="816" ht="21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11"/>
    </row>
    <row r="817" ht="21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11"/>
    </row>
    <row r="818" ht="21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11"/>
    </row>
    <row r="819" ht="21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11"/>
    </row>
    <row r="820" ht="21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11"/>
    </row>
    <row r="821" ht="21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11"/>
    </row>
    <row r="822" ht="21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11"/>
    </row>
    <row r="823" ht="21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11"/>
    </row>
    <row r="824" ht="21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11"/>
    </row>
    <row r="825" ht="21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11"/>
    </row>
    <row r="826" ht="21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11"/>
    </row>
    <row r="827" ht="21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11"/>
    </row>
    <row r="828" ht="21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11"/>
    </row>
    <row r="829" ht="21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11"/>
    </row>
    <row r="830" ht="21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11"/>
    </row>
    <row r="831" ht="21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ht="21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ht="21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11"/>
    </row>
    <row r="834" ht="21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11"/>
    </row>
    <row r="835" ht="21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11"/>
    </row>
    <row r="836" ht="21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11"/>
    </row>
    <row r="837" ht="21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11"/>
    </row>
    <row r="838" ht="21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11"/>
    </row>
    <row r="839" ht="21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11"/>
    </row>
    <row r="840" ht="21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11"/>
    </row>
    <row r="841" ht="21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11"/>
    </row>
    <row r="842" ht="21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11"/>
    </row>
    <row r="843" ht="21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11"/>
    </row>
    <row r="844" ht="21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11"/>
    </row>
    <row r="845" ht="21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11"/>
    </row>
    <row r="846" ht="21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11"/>
    </row>
    <row r="847" ht="21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11"/>
    </row>
    <row r="848" ht="21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11"/>
    </row>
    <row r="849" ht="21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11"/>
    </row>
    <row r="850" ht="21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11"/>
    </row>
    <row r="851" ht="21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11"/>
    </row>
    <row r="852" ht="21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11"/>
    </row>
    <row r="853" ht="21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11"/>
    </row>
    <row r="854" ht="21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11"/>
    </row>
    <row r="855" ht="21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11"/>
    </row>
    <row r="856" ht="21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11"/>
    </row>
    <row r="857" ht="21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11"/>
    </row>
    <row r="858" ht="21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11"/>
    </row>
    <row r="859" ht="21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11"/>
    </row>
    <row r="860" ht="21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11"/>
    </row>
    <row r="861" ht="21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11"/>
    </row>
    <row r="862" ht="21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11"/>
    </row>
    <row r="863" ht="21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11"/>
    </row>
    <row r="864" ht="21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11"/>
    </row>
    <row r="865" ht="21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11"/>
    </row>
    <row r="866" ht="21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11"/>
    </row>
    <row r="867" ht="21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11"/>
    </row>
    <row r="868" ht="21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11"/>
    </row>
    <row r="869" ht="21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11"/>
    </row>
    <row r="870" ht="21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11"/>
    </row>
    <row r="871" ht="21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ht="21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11"/>
    </row>
    <row r="873" ht="21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11"/>
    </row>
    <row r="874" ht="21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11"/>
    </row>
    <row r="875" ht="21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ht="21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11"/>
    </row>
    <row r="877" ht="21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11"/>
    </row>
    <row r="878" ht="21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11"/>
    </row>
    <row r="879" ht="21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11"/>
    </row>
    <row r="880" ht="21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11"/>
    </row>
    <row r="881" ht="21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11"/>
    </row>
    <row r="882" ht="21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11"/>
    </row>
    <row r="883" ht="21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11"/>
    </row>
    <row r="884" ht="21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11"/>
    </row>
    <row r="885" ht="21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11"/>
    </row>
    <row r="886" ht="21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11"/>
    </row>
    <row r="887" ht="21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11"/>
    </row>
    <row r="888" ht="21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11"/>
    </row>
    <row r="889" ht="21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11"/>
    </row>
    <row r="890" ht="21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11"/>
    </row>
    <row r="891" ht="21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11"/>
    </row>
    <row r="892" ht="21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11"/>
    </row>
    <row r="893" ht="21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11"/>
    </row>
    <row r="894" ht="21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11"/>
    </row>
    <row r="895" ht="21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11"/>
    </row>
    <row r="896" ht="21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11"/>
    </row>
    <row r="897" ht="21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11"/>
    </row>
    <row r="898" ht="21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11"/>
    </row>
    <row r="899" ht="21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11"/>
    </row>
    <row r="900" ht="21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11"/>
    </row>
    <row r="901" ht="21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11"/>
    </row>
    <row r="902" ht="21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11"/>
    </row>
    <row r="903" ht="21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11"/>
    </row>
    <row r="904" ht="21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11"/>
    </row>
    <row r="905" ht="21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11"/>
    </row>
    <row r="906" ht="21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11"/>
    </row>
    <row r="907" ht="21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11"/>
    </row>
    <row r="908" ht="21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11"/>
    </row>
    <row r="909" ht="21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11"/>
    </row>
    <row r="910" ht="21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11"/>
    </row>
    <row r="911" ht="21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11"/>
    </row>
    <row r="912" ht="21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11"/>
    </row>
    <row r="913" ht="21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11"/>
    </row>
    <row r="914" ht="21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11"/>
    </row>
    <row r="915" ht="21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11"/>
    </row>
    <row r="916" ht="21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11"/>
    </row>
    <row r="917" ht="21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11"/>
    </row>
    <row r="918" ht="21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11"/>
    </row>
    <row r="919" ht="21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11"/>
    </row>
    <row r="920" ht="21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11"/>
    </row>
    <row r="921" ht="21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11"/>
    </row>
    <row r="922" ht="21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11"/>
    </row>
    <row r="923" ht="21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11"/>
    </row>
    <row r="924" ht="21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11"/>
    </row>
    <row r="925" ht="21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11"/>
    </row>
    <row r="926" ht="21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11"/>
    </row>
    <row r="927" ht="21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11"/>
    </row>
    <row r="928" ht="21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11"/>
    </row>
    <row r="929" ht="21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11"/>
    </row>
    <row r="930" ht="21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11"/>
    </row>
    <row r="931" ht="21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11"/>
    </row>
    <row r="932" ht="21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11"/>
    </row>
    <row r="933" ht="21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11"/>
    </row>
    <row r="934" ht="21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11"/>
    </row>
    <row r="935" ht="21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11"/>
    </row>
    <row r="936" ht="21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11"/>
    </row>
    <row r="937" ht="21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11"/>
    </row>
    <row r="938" ht="21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11"/>
    </row>
    <row r="939" ht="21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11"/>
    </row>
    <row r="940" ht="21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11"/>
    </row>
    <row r="941" ht="21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11"/>
    </row>
    <row r="942" ht="21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11"/>
    </row>
    <row r="943" ht="21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11"/>
    </row>
    <row r="944" ht="21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11"/>
    </row>
    <row r="945" ht="21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11"/>
    </row>
    <row r="946" ht="21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11"/>
    </row>
    <row r="947" ht="21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11"/>
    </row>
    <row r="948" ht="21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11"/>
    </row>
    <row r="949" ht="21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11"/>
    </row>
    <row r="950" ht="21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11"/>
    </row>
    <row r="951" ht="21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11"/>
    </row>
    <row r="952" ht="21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11"/>
    </row>
    <row r="953" ht="21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11"/>
    </row>
    <row r="954" ht="21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11"/>
    </row>
    <row r="955" ht="21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11"/>
    </row>
    <row r="956" ht="21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11"/>
    </row>
    <row r="957" ht="21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11"/>
    </row>
    <row r="958" ht="21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11"/>
    </row>
    <row r="959" ht="21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11"/>
    </row>
    <row r="960" ht="21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11"/>
    </row>
    <row r="961" ht="21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11"/>
    </row>
    <row r="962" ht="21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11"/>
    </row>
    <row r="963" ht="21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11"/>
    </row>
    <row r="964" ht="21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11"/>
    </row>
    <row r="965" ht="21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11"/>
    </row>
    <row r="966" ht="21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11"/>
    </row>
    <row r="967" ht="21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11"/>
    </row>
    <row r="968" ht="21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11"/>
    </row>
    <row r="969" ht="21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11"/>
    </row>
    <row r="970" ht="21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11"/>
    </row>
    <row r="971" ht="21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11"/>
    </row>
    <row r="972" ht="21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11"/>
    </row>
    <row r="973" ht="21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11"/>
    </row>
    <row r="974" ht="21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11"/>
    </row>
    <row r="975" ht="21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11"/>
    </row>
    <row r="976" ht="21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11"/>
    </row>
    <row r="977" ht="21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11"/>
    </row>
    <row r="978" ht="21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11"/>
    </row>
    <row r="979" ht="21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11"/>
    </row>
    <row r="980" ht="21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11"/>
    </row>
    <row r="981" ht="21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11"/>
    </row>
    <row r="982" ht="21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11"/>
    </row>
    <row r="983" ht="21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11"/>
    </row>
    <row r="984" ht="21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11"/>
    </row>
    <row r="985" ht="21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11"/>
    </row>
    <row r="986" ht="21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11"/>
    </row>
    <row r="987" ht="21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11"/>
    </row>
    <row r="988" ht="21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11"/>
    </row>
    <row r="989" ht="21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11"/>
    </row>
    <row r="990" ht="21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11"/>
    </row>
    <row r="991" ht="21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11"/>
    </row>
    <row r="992" ht="21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11"/>
    </row>
    <row r="993" ht="21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11"/>
    </row>
    <row r="994" ht="21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11"/>
    </row>
    <row r="995" ht="21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11"/>
    </row>
    <row r="996" ht="21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11"/>
    </row>
    <row r="997" ht="21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ht="21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11"/>
    </row>
    <row r="999" ht="21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68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1">
        <v>4.39</v>
      </c>
      <c r="D2" s="22">
        <v>6.2</v>
      </c>
      <c r="E2" s="21">
        <v>4.79</v>
      </c>
      <c r="F2" s="22">
        <v>4.99</v>
      </c>
      <c r="G2" s="16">
        <v>2.49</v>
      </c>
      <c r="H2" s="22">
        <f t="shared" ref="H2:H34" si="1">AVERAGE(C2:G2)</f>
        <v>4.572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1">
        <v>2.15</v>
      </c>
      <c r="D3" s="22">
        <v>4.99</v>
      </c>
      <c r="E3" s="21">
        <v>4.19</v>
      </c>
      <c r="F3" s="22">
        <v>3.0</v>
      </c>
      <c r="G3" s="16">
        <v>2.99</v>
      </c>
      <c r="H3" s="22">
        <f t="shared" si="1"/>
        <v>3.464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1">
        <v>0.89</v>
      </c>
      <c r="D4" s="22">
        <v>3.62</v>
      </c>
      <c r="E4" s="21">
        <v>2.99</v>
      </c>
      <c r="F4" s="22">
        <v>1.99</v>
      </c>
      <c r="G4" s="16">
        <v>1.99</v>
      </c>
      <c r="H4" s="22">
        <f t="shared" si="1"/>
        <v>2.296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1">
        <v>3.09</v>
      </c>
      <c r="D5" s="22">
        <v>6.35</v>
      </c>
      <c r="E5" s="21">
        <v>4.99</v>
      </c>
      <c r="F5" s="22">
        <v>3.49</v>
      </c>
      <c r="G5" s="16">
        <v>4.49</v>
      </c>
      <c r="H5" s="22">
        <f t="shared" si="1"/>
        <v>4.482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1">
        <v>6.85</v>
      </c>
      <c r="D6" s="22">
        <v>8.28</v>
      </c>
      <c r="E6" s="21">
        <v>17.99</v>
      </c>
      <c r="F6" s="22">
        <v>6.49</v>
      </c>
      <c r="G6" s="16">
        <v>6.99</v>
      </c>
      <c r="H6" s="22">
        <f t="shared" si="1"/>
        <v>9.32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1">
        <v>1.65</v>
      </c>
      <c r="D7" s="22">
        <v>1.14</v>
      </c>
      <c r="E7" s="21">
        <v>0.75</v>
      </c>
      <c r="F7" s="22">
        <v>2.29</v>
      </c>
      <c r="G7" s="16">
        <v>1.99</v>
      </c>
      <c r="H7" s="22">
        <f t="shared" si="1"/>
        <v>1.564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1">
        <v>4.15</v>
      </c>
      <c r="D8" s="22">
        <v>5.33</v>
      </c>
      <c r="E8" s="21">
        <v>4.99</v>
      </c>
      <c r="F8" s="22">
        <v>3.69</v>
      </c>
      <c r="G8" s="16">
        <v>4.79</v>
      </c>
      <c r="H8" s="22">
        <f t="shared" si="1"/>
        <v>4.59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1">
        <v>1.39</v>
      </c>
      <c r="D9" s="22">
        <v>3.49</v>
      </c>
      <c r="E9" s="21">
        <v>2.79</v>
      </c>
      <c r="F9" s="22">
        <v>1.79</v>
      </c>
      <c r="G9" s="16">
        <v>2.99</v>
      </c>
      <c r="H9" s="22">
        <f t="shared" si="1"/>
        <v>2.49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1">
        <v>2.45</v>
      </c>
      <c r="D10" s="22">
        <v>3.49</v>
      </c>
      <c r="E10" s="21">
        <v>4.69</v>
      </c>
      <c r="F10" s="22">
        <v>3.49</v>
      </c>
      <c r="G10" s="16">
        <v>4.99</v>
      </c>
      <c r="H10" s="22">
        <f t="shared" si="1"/>
        <v>3.822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1">
        <v>4.09</v>
      </c>
      <c r="D11" s="22">
        <v>4.56</v>
      </c>
      <c r="E11" s="21">
        <v>3.5</v>
      </c>
      <c r="F11" s="22">
        <v>3.29</v>
      </c>
      <c r="G11" s="16">
        <v>10.99</v>
      </c>
      <c r="H11" s="22">
        <f t="shared" si="1"/>
        <v>5.286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1">
        <v>2.09</v>
      </c>
      <c r="D12" s="22">
        <v>2.1</v>
      </c>
      <c r="E12" s="21">
        <v>2.99</v>
      </c>
      <c r="F12" s="22">
        <v>1.99</v>
      </c>
      <c r="G12" s="16">
        <v>1.19</v>
      </c>
      <c r="H12" s="22">
        <f t="shared" si="1"/>
        <v>2.072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1">
        <v>4.25</v>
      </c>
      <c r="D13" s="22">
        <v>15.15</v>
      </c>
      <c r="E13" s="21">
        <v>14.59</v>
      </c>
      <c r="F13" s="22">
        <v>7.49</v>
      </c>
      <c r="G13" s="16">
        <v>5.69</v>
      </c>
      <c r="H13" s="22">
        <f t="shared" si="1"/>
        <v>9.434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1">
        <v>4.69</v>
      </c>
      <c r="D14" s="22">
        <v>6.49</v>
      </c>
      <c r="E14" s="21">
        <v>2.5</v>
      </c>
      <c r="F14" s="22">
        <v>3.29</v>
      </c>
      <c r="G14" s="16">
        <v>5.99</v>
      </c>
      <c r="H14" s="22">
        <f t="shared" si="1"/>
        <v>4.592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1">
        <v>3.19</v>
      </c>
      <c r="D15" s="22">
        <v>7.4</v>
      </c>
      <c r="E15" s="21">
        <v>5.99</v>
      </c>
      <c r="F15" s="22">
        <v>5.49</v>
      </c>
      <c r="G15" s="16">
        <v>2.99</v>
      </c>
      <c r="H15" s="22">
        <f t="shared" si="1"/>
        <v>5.012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1">
        <v>3.65</v>
      </c>
      <c r="D16" s="22">
        <v>4.82</v>
      </c>
      <c r="E16" s="21">
        <v>3.49</v>
      </c>
      <c r="F16" s="22">
        <v>3.99</v>
      </c>
      <c r="G16" s="16">
        <v>3.99</v>
      </c>
      <c r="H16" s="22">
        <f t="shared" si="1"/>
        <v>3.988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1">
        <v>0.59</v>
      </c>
      <c r="D17" s="22">
        <v>2.08</v>
      </c>
      <c r="E17" s="21">
        <v>2.59</v>
      </c>
      <c r="F17" s="22">
        <v>1.79</v>
      </c>
      <c r="G17" s="16">
        <v>0.99</v>
      </c>
      <c r="H17" s="22">
        <f t="shared" si="1"/>
        <v>1.608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1">
        <v>2.39</v>
      </c>
      <c r="D18" s="22">
        <v>4.99</v>
      </c>
      <c r="E18" s="21">
        <v>3.0</v>
      </c>
      <c r="F18" s="22">
        <v>3.39</v>
      </c>
      <c r="G18" s="16">
        <v>2.79</v>
      </c>
      <c r="H18" s="22">
        <f t="shared" si="1"/>
        <v>3.312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1">
        <v>3.19</v>
      </c>
      <c r="D19" s="22">
        <v>3.14</v>
      </c>
      <c r="E19" s="21">
        <v>1.99</v>
      </c>
      <c r="F19" s="22">
        <v>2.5</v>
      </c>
      <c r="G19" s="16">
        <v>1.5</v>
      </c>
      <c r="H19" s="22">
        <f t="shared" si="1"/>
        <v>2.464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1">
        <v>0.73</v>
      </c>
      <c r="D20" s="22">
        <v>1.02</v>
      </c>
      <c r="E20" s="21">
        <v>0.99</v>
      </c>
      <c r="F20" s="22">
        <v>1.59</v>
      </c>
      <c r="G20" s="16">
        <v>0.23</v>
      </c>
      <c r="H20" s="22">
        <f t="shared" si="1"/>
        <v>0.912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1">
        <v>3.75</v>
      </c>
      <c r="D21" s="22">
        <v>2.13</v>
      </c>
      <c r="E21" s="21">
        <v>1.25</v>
      </c>
      <c r="F21" s="22">
        <v>1.59</v>
      </c>
      <c r="G21" s="16">
        <v>3.99</v>
      </c>
      <c r="H21" s="22">
        <f t="shared" si="1"/>
        <v>2.542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1">
        <v>2.99</v>
      </c>
      <c r="D22" s="22">
        <v>7.99</v>
      </c>
      <c r="E22" s="20">
        <v>3.99</v>
      </c>
      <c r="F22" s="22">
        <v>3.79</v>
      </c>
      <c r="G22" s="16">
        <v>2.99</v>
      </c>
      <c r="H22" s="22">
        <f t="shared" si="1"/>
        <v>4.35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1">
        <v>2.09</v>
      </c>
      <c r="D23" s="22">
        <v>2.26</v>
      </c>
      <c r="E23" s="21">
        <v>2.49</v>
      </c>
      <c r="F23" s="22">
        <v>1.99</v>
      </c>
      <c r="G23" s="16">
        <v>0.99</v>
      </c>
      <c r="H23" s="22">
        <f t="shared" si="1"/>
        <v>1.964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1">
        <v>3.85</v>
      </c>
      <c r="D24" s="22">
        <v>6.35</v>
      </c>
      <c r="E24" s="20">
        <v>7.99</v>
      </c>
      <c r="F24" s="22">
        <v>3.99</v>
      </c>
      <c r="G24" s="16">
        <v>2.79</v>
      </c>
      <c r="H24" s="22">
        <f t="shared" si="1"/>
        <v>4.994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1">
        <v>5.19</v>
      </c>
      <c r="D25" s="22">
        <v>8.49</v>
      </c>
      <c r="E25" s="20">
        <v>9.59</v>
      </c>
      <c r="F25" s="22">
        <v>7.29</v>
      </c>
      <c r="G25" s="16">
        <v>4.49</v>
      </c>
      <c r="H25" s="22">
        <f t="shared" si="1"/>
        <v>7.01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1">
        <v>7.29</v>
      </c>
      <c r="D26" s="22">
        <v>10.3</v>
      </c>
      <c r="E26" s="21">
        <v>11.99</v>
      </c>
      <c r="F26" s="22">
        <v>6.99</v>
      </c>
      <c r="G26" s="16">
        <v>6.49</v>
      </c>
      <c r="H26" s="22">
        <f t="shared" si="1"/>
        <v>8.612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1">
        <v>1.05</v>
      </c>
      <c r="D27" s="22">
        <v>2.99</v>
      </c>
      <c r="E27" s="21">
        <v>2.0</v>
      </c>
      <c r="F27" s="22">
        <v>2.29</v>
      </c>
      <c r="G27" s="16">
        <v>1.99</v>
      </c>
      <c r="H27" s="22">
        <f t="shared" si="1"/>
        <v>2.064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1">
        <v>3.19</v>
      </c>
      <c r="D28" s="22">
        <v>3.28</v>
      </c>
      <c r="E28" s="21">
        <v>1.99</v>
      </c>
      <c r="F28" s="22">
        <v>2.72</v>
      </c>
      <c r="G28" s="16">
        <v>2.99</v>
      </c>
      <c r="H28" s="22">
        <f t="shared" si="1"/>
        <v>2.834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1">
        <v>4.39</v>
      </c>
      <c r="D29" s="22">
        <v>1.49</v>
      </c>
      <c r="E29" s="21">
        <v>0.99</v>
      </c>
      <c r="F29" s="22">
        <v>1.46</v>
      </c>
      <c r="G29" s="16">
        <v>3.49</v>
      </c>
      <c r="H29" s="22">
        <f t="shared" si="1"/>
        <v>2.364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1">
        <v>2.19</v>
      </c>
      <c r="D30" s="22">
        <v>1.99</v>
      </c>
      <c r="E30" s="21">
        <v>1.29</v>
      </c>
      <c r="F30" s="22">
        <v>1.5</v>
      </c>
      <c r="G30" s="16">
        <v>3.99</v>
      </c>
      <c r="H30" s="22">
        <f t="shared" si="1"/>
        <v>2.192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1">
        <v>3.29</v>
      </c>
      <c r="D31" s="22">
        <v>10.03</v>
      </c>
      <c r="E31" s="20">
        <v>3.99</v>
      </c>
      <c r="F31" s="22">
        <v>2.79</v>
      </c>
      <c r="G31" s="16">
        <v>1.99</v>
      </c>
      <c r="H31" s="22">
        <f t="shared" si="1"/>
        <v>4.418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1">
        <v>2.19</v>
      </c>
      <c r="D32" s="22">
        <v>3.28</v>
      </c>
      <c r="E32" s="21">
        <v>1.49</v>
      </c>
      <c r="F32" s="22">
        <v>1.99</v>
      </c>
      <c r="G32" s="16">
        <v>1.99</v>
      </c>
      <c r="H32" s="22">
        <f t="shared" si="1"/>
        <v>2.188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1">
        <v>6.86</v>
      </c>
      <c r="D33" s="22">
        <v>9.49</v>
      </c>
      <c r="E33" s="21">
        <v>4.29</v>
      </c>
      <c r="F33" s="22">
        <v>9.99</v>
      </c>
      <c r="G33" s="16">
        <v>7.99</v>
      </c>
      <c r="H33" s="22">
        <f t="shared" si="1"/>
        <v>7.724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1">
        <v>4.19</v>
      </c>
      <c r="D34" s="22">
        <v>4.23</v>
      </c>
      <c r="E34" s="21">
        <v>2.29</v>
      </c>
      <c r="F34" s="22">
        <v>4.19</v>
      </c>
      <c r="G34" s="16">
        <v>2.79</v>
      </c>
      <c r="H34" s="22">
        <f t="shared" si="1"/>
        <v>3.538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11"/>
      <c r="G45" s="2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68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1">
        <v>4.48</v>
      </c>
      <c r="D2" s="22">
        <v>6.2</v>
      </c>
      <c r="E2" s="21">
        <v>4.59</v>
      </c>
      <c r="F2" s="22">
        <v>5.09</v>
      </c>
      <c r="G2" s="16">
        <v>2.49</v>
      </c>
      <c r="H2" s="22">
        <f t="shared" ref="H2:H34" si="1">AVERAGE(C2:G2)</f>
        <v>4.57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1">
        <v>2.19</v>
      </c>
      <c r="D3" s="22">
        <v>4.99</v>
      </c>
      <c r="E3" s="21">
        <v>3.5</v>
      </c>
      <c r="F3" s="22">
        <v>3.0</v>
      </c>
      <c r="G3" s="16">
        <v>2.99</v>
      </c>
      <c r="H3" s="22">
        <f t="shared" si="1"/>
        <v>3.334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1">
        <v>0.91</v>
      </c>
      <c r="D4" s="22">
        <v>3.64</v>
      </c>
      <c r="E4" s="21">
        <v>2.99</v>
      </c>
      <c r="F4" s="22">
        <v>1.99</v>
      </c>
      <c r="G4" s="16">
        <v>1.99</v>
      </c>
      <c r="H4" s="22">
        <f t="shared" si="1"/>
        <v>2.304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1">
        <v>3.15</v>
      </c>
      <c r="D5" s="22">
        <v>6.28</v>
      </c>
      <c r="E5" s="21">
        <v>4.69</v>
      </c>
      <c r="F5" s="22">
        <v>3.59</v>
      </c>
      <c r="G5" s="16">
        <v>4.49</v>
      </c>
      <c r="H5" s="22">
        <f t="shared" si="1"/>
        <v>4.44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1">
        <v>6.99</v>
      </c>
      <c r="D6" s="22">
        <v>8.28</v>
      </c>
      <c r="E6" s="21">
        <v>8.99</v>
      </c>
      <c r="F6" s="22">
        <v>6.59</v>
      </c>
      <c r="G6" s="16">
        <v>6.99</v>
      </c>
      <c r="H6" s="22">
        <f t="shared" si="1"/>
        <v>7.568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1">
        <v>1.68</v>
      </c>
      <c r="D7" s="22">
        <v>1.14</v>
      </c>
      <c r="E7" s="21">
        <v>1.08</v>
      </c>
      <c r="F7" s="22">
        <v>2.19</v>
      </c>
      <c r="G7" s="16">
        <v>1.99</v>
      </c>
      <c r="H7" s="22">
        <f t="shared" si="1"/>
        <v>1.616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1">
        <v>4.23</v>
      </c>
      <c r="D8" s="22">
        <v>5.3</v>
      </c>
      <c r="E8" s="20">
        <v>5.89</v>
      </c>
      <c r="F8" s="22">
        <v>3.69</v>
      </c>
      <c r="G8" s="16">
        <v>4.79</v>
      </c>
      <c r="H8" s="22">
        <f t="shared" si="1"/>
        <v>4.78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1">
        <v>1.42</v>
      </c>
      <c r="D9" s="22">
        <v>3.49</v>
      </c>
      <c r="E9" s="21">
        <v>3.79</v>
      </c>
      <c r="F9" s="22">
        <v>1.79</v>
      </c>
      <c r="G9" s="16">
        <v>2.99</v>
      </c>
      <c r="H9" s="22">
        <f t="shared" si="1"/>
        <v>2.696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1">
        <v>2.5</v>
      </c>
      <c r="D10" s="22">
        <v>3.49</v>
      </c>
      <c r="E10" s="21">
        <v>2.24</v>
      </c>
      <c r="F10" s="22">
        <v>3.49</v>
      </c>
      <c r="G10" s="16">
        <v>4.99</v>
      </c>
      <c r="H10" s="22">
        <f t="shared" si="1"/>
        <v>3.342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1">
        <v>4.17</v>
      </c>
      <c r="D11" s="22">
        <v>4.56</v>
      </c>
      <c r="E11" s="25">
        <v>1.59</v>
      </c>
      <c r="F11" s="22">
        <v>3.39</v>
      </c>
      <c r="G11" s="16">
        <v>10.99</v>
      </c>
      <c r="H11" s="22">
        <f t="shared" si="1"/>
        <v>4.94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1">
        <v>2.13</v>
      </c>
      <c r="D12" s="22">
        <v>2.1</v>
      </c>
      <c r="E12" s="21">
        <v>2.59</v>
      </c>
      <c r="F12" s="22">
        <v>1.99</v>
      </c>
      <c r="G12" s="16">
        <v>1.19</v>
      </c>
      <c r="H12" s="22">
        <f t="shared" si="1"/>
        <v>2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1">
        <v>4.34</v>
      </c>
      <c r="D13" s="22">
        <v>15.58</v>
      </c>
      <c r="E13" s="21">
        <v>15.99</v>
      </c>
      <c r="F13" s="22">
        <v>7.59</v>
      </c>
      <c r="G13" s="16">
        <v>5.69</v>
      </c>
      <c r="H13" s="22">
        <f t="shared" si="1"/>
        <v>9.838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1">
        <v>4.78</v>
      </c>
      <c r="D14" s="22">
        <v>6.49</v>
      </c>
      <c r="E14" s="21">
        <v>3.59</v>
      </c>
      <c r="F14" s="22">
        <v>3.39</v>
      </c>
      <c r="G14" s="16">
        <v>5.99</v>
      </c>
      <c r="H14" s="22">
        <f t="shared" si="1"/>
        <v>4.848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1">
        <v>3.25</v>
      </c>
      <c r="D15" s="22">
        <v>7.36</v>
      </c>
      <c r="E15" s="21">
        <v>6.99</v>
      </c>
      <c r="F15" s="22">
        <v>5.59</v>
      </c>
      <c r="G15" s="16">
        <v>2.99</v>
      </c>
      <c r="H15" s="22">
        <f t="shared" si="1"/>
        <v>5.236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1">
        <v>3.72</v>
      </c>
      <c r="D16" s="22">
        <v>4.74</v>
      </c>
      <c r="E16" s="21">
        <v>3.99</v>
      </c>
      <c r="F16" s="22">
        <v>3.99</v>
      </c>
      <c r="G16" s="16">
        <v>3.99</v>
      </c>
      <c r="H16" s="22">
        <f t="shared" si="1"/>
        <v>4.086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1">
        <v>0.6</v>
      </c>
      <c r="D17" s="22">
        <v>2.12</v>
      </c>
      <c r="E17" s="21">
        <v>2.0</v>
      </c>
      <c r="F17" s="22">
        <v>1.79</v>
      </c>
      <c r="G17" s="16">
        <v>0.99</v>
      </c>
      <c r="H17" s="22">
        <f t="shared" si="1"/>
        <v>1.5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1">
        <v>2.44</v>
      </c>
      <c r="D18" s="22">
        <v>4.99</v>
      </c>
      <c r="E18" s="21">
        <v>7.59</v>
      </c>
      <c r="F18" s="22">
        <v>3.49</v>
      </c>
      <c r="G18" s="16">
        <v>2.79</v>
      </c>
      <c r="H18" s="22">
        <f t="shared" si="1"/>
        <v>4.26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1">
        <v>3.25</v>
      </c>
      <c r="D19" s="22">
        <v>3.22</v>
      </c>
      <c r="E19" s="21">
        <v>1.6</v>
      </c>
      <c r="F19" s="22">
        <v>2.59</v>
      </c>
      <c r="G19" s="16">
        <v>1.5</v>
      </c>
      <c r="H19" s="22">
        <f t="shared" si="1"/>
        <v>2.432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1">
        <v>0.74</v>
      </c>
      <c r="D20" s="22">
        <v>0.92</v>
      </c>
      <c r="E20" s="21">
        <v>0.79</v>
      </c>
      <c r="F20" s="22">
        <v>1.59</v>
      </c>
      <c r="G20" s="16">
        <v>0.23</v>
      </c>
      <c r="H20" s="22">
        <f t="shared" si="1"/>
        <v>0.854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1">
        <v>3.83</v>
      </c>
      <c r="D21" s="22">
        <v>2.13</v>
      </c>
      <c r="E21" s="21">
        <v>4.99</v>
      </c>
      <c r="F21" s="22">
        <v>1.59</v>
      </c>
      <c r="G21" s="16">
        <v>3.99</v>
      </c>
      <c r="H21" s="22">
        <f t="shared" si="1"/>
        <v>3.306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1">
        <v>3.05</v>
      </c>
      <c r="D22" s="22">
        <v>7.39</v>
      </c>
      <c r="E22" s="20">
        <v>1.99</v>
      </c>
      <c r="F22" s="22">
        <v>3.69</v>
      </c>
      <c r="G22" s="16">
        <v>2.99</v>
      </c>
      <c r="H22" s="22">
        <f t="shared" si="1"/>
        <v>3.822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1">
        <v>2.13</v>
      </c>
      <c r="D23" s="22">
        <v>2.25</v>
      </c>
      <c r="E23" s="21">
        <v>2.39</v>
      </c>
      <c r="F23" s="22">
        <v>1.99</v>
      </c>
      <c r="G23" s="16">
        <v>0.99</v>
      </c>
      <c r="H23" s="22">
        <f t="shared" si="1"/>
        <v>1.95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1">
        <v>3.93</v>
      </c>
      <c r="D24" s="22">
        <v>6.28</v>
      </c>
      <c r="E24" s="20">
        <v>10.49</v>
      </c>
      <c r="F24" s="22">
        <v>4.09</v>
      </c>
      <c r="G24" s="16">
        <v>2.79</v>
      </c>
      <c r="H24" s="22">
        <f t="shared" si="1"/>
        <v>5.516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1">
        <v>5.29</v>
      </c>
      <c r="D25" s="22">
        <v>8.49</v>
      </c>
      <c r="E25" s="20">
        <v>7.99</v>
      </c>
      <c r="F25" s="22">
        <v>7.29</v>
      </c>
      <c r="G25" s="16">
        <v>4.49</v>
      </c>
      <c r="H25" s="22">
        <f t="shared" si="1"/>
        <v>6.71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1">
        <v>7.44</v>
      </c>
      <c r="D26" s="22">
        <v>10.36</v>
      </c>
      <c r="E26" s="21">
        <v>6.99</v>
      </c>
      <c r="F26" s="22">
        <v>7.09</v>
      </c>
      <c r="G26" s="16">
        <v>6.49</v>
      </c>
      <c r="H26" s="22">
        <f t="shared" si="1"/>
        <v>7.674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1">
        <v>1.07</v>
      </c>
      <c r="D27" s="22">
        <v>2.99</v>
      </c>
      <c r="E27" s="21">
        <v>1.79</v>
      </c>
      <c r="F27" s="22">
        <v>2.19</v>
      </c>
      <c r="G27" s="16">
        <v>1.99</v>
      </c>
      <c r="H27" s="22">
        <f t="shared" si="1"/>
        <v>2.006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1">
        <v>3.25</v>
      </c>
      <c r="D28" s="22">
        <v>3.42</v>
      </c>
      <c r="E28" s="21">
        <v>1.99</v>
      </c>
      <c r="F28" s="22">
        <v>2.79</v>
      </c>
      <c r="G28" s="16">
        <v>2.99</v>
      </c>
      <c r="H28" s="22">
        <f t="shared" si="1"/>
        <v>2.888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1">
        <v>4.48</v>
      </c>
      <c r="D29" s="22">
        <v>1.49</v>
      </c>
      <c r="E29" s="21">
        <v>0.99</v>
      </c>
      <c r="F29" s="22">
        <v>1.46</v>
      </c>
      <c r="G29" s="16">
        <v>3.49</v>
      </c>
      <c r="H29" s="22">
        <f t="shared" si="1"/>
        <v>2.382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1">
        <v>2.23</v>
      </c>
      <c r="D30" s="22">
        <v>1.99</v>
      </c>
      <c r="E30" s="21">
        <v>1.1</v>
      </c>
      <c r="F30" s="22">
        <v>1.5</v>
      </c>
      <c r="G30" s="16">
        <v>3.99</v>
      </c>
      <c r="H30" s="22">
        <f t="shared" si="1"/>
        <v>2.162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1">
        <v>3.36</v>
      </c>
      <c r="D31" s="22">
        <v>10.68</v>
      </c>
      <c r="E31" s="20">
        <v>3.99</v>
      </c>
      <c r="F31" s="22">
        <v>2.89</v>
      </c>
      <c r="G31" s="16">
        <v>1.99</v>
      </c>
      <c r="H31" s="22">
        <f t="shared" si="1"/>
        <v>4.582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1">
        <v>2.23</v>
      </c>
      <c r="D32" s="22">
        <v>3.42</v>
      </c>
      <c r="E32" s="21">
        <v>1.49</v>
      </c>
      <c r="F32" s="22">
        <v>1.99</v>
      </c>
      <c r="G32" s="16">
        <v>1.99</v>
      </c>
      <c r="H32" s="22">
        <f t="shared" si="1"/>
        <v>2.224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1">
        <v>7.0</v>
      </c>
      <c r="D33" s="22">
        <v>9.49</v>
      </c>
      <c r="E33" s="21">
        <v>6.99</v>
      </c>
      <c r="F33" s="22">
        <v>10.09</v>
      </c>
      <c r="G33" s="16">
        <v>7.99</v>
      </c>
      <c r="H33" s="22">
        <f t="shared" si="1"/>
        <v>8.312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1">
        <v>4.27</v>
      </c>
      <c r="D34" s="22">
        <v>4.1</v>
      </c>
      <c r="E34" s="21">
        <v>2.79</v>
      </c>
      <c r="F34" s="22">
        <v>4.09</v>
      </c>
      <c r="G34" s="16">
        <v>2.79</v>
      </c>
      <c r="H34" s="22">
        <f t="shared" si="1"/>
        <v>3.608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11"/>
      <c r="G45" s="2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68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1">
        <v>4.57</v>
      </c>
      <c r="D2" s="22">
        <v>6.2</v>
      </c>
      <c r="E2" s="21">
        <v>5.39</v>
      </c>
      <c r="F2" s="22">
        <v>5.09</v>
      </c>
      <c r="G2" s="16">
        <v>2.49</v>
      </c>
      <c r="H2" s="22">
        <f t="shared" ref="H2:H34" si="1">AVERAGE(C2:G2)</f>
        <v>4.748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1">
        <v>2.23</v>
      </c>
      <c r="D3" s="22">
        <v>4.99</v>
      </c>
      <c r="E3" s="21">
        <v>4.19</v>
      </c>
      <c r="F3" s="22">
        <v>3.0</v>
      </c>
      <c r="G3" s="16">
        <v>2.99</v>
      </c>
      <c r="H3" s="22">
        <f t="shared" si="1"/>
        <v>3.48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1">
        <v>0.93</v>
      </c>
      <c r="D4" s="22">
        <v>3.65</v>
      </c>
      <c r="E4" s="21">
        <v>2.49</v>
      </c>
      <c r="F4" s="22">
        <v>1.99</v>
      </c>
      <c r="G4" s="16">
        <v>1.99</v>
      </c>
      <c r="H4" s="22">
        <f t="shared" si="1"/>
        <v>2.21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1">
        <v>3.21</v>
      </c>
      <c r="D5" s="22">
        <v>6.21</v>
      </c>
      <c r="E5" s="21">
        <v>4.99</v>
      </c>
      <c r="F5" s="22">
        <v>3.59</v>
      </c>
      <c r="G5" s="16">
        <v>4.49</v>
      </c>
      <c r="H5" s="22">
        <f t="shared" si="1"/>
        <v>4.498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1">
        <v>7.13</v>
      </c>
      <c r="D6" s="22">
        <v>8.28</v>
      </c>
      <c r="E6" s="20">
        <v>8.99</v>
      </c>
      <c r="F6" s="22">
        <v>6.59</v>
      </c>
      <c r="G6" s="16">
        <v>6.99</v>
      </c>
      <c r="H6" s="22">
        <f t="shared" si="1"/>
        <v>7.596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1">
        <v>1.71</v>
      </c>
      <c r="D7" s="22">
        <v>1.15</v>
      </c>
      <c r="E7" s="21">
        <v>1.25</v>
      </c>
      <c r="F7" s="22">
        <v>2.19</v>
      </c>
      <c r="G7" s="16">
        <v>1.99</v>
      </c>
      <c r="H7" s="22">
        <f t="shared" si="1"/>
        <v>1.658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1">
        <v>4.31</v>
      </c>
      <c r="D8" s="22">
        <v>5.27</v>
      </c>
      <c r="E8" s="20">
        <v>4.99</v>
      </c>
      <c r="F8" s="22">
        <v>3.79</v>
      </c>
      <c r="G8" s="16">
        <v>4.79</v>
      </c>
      <c r="H8" s="22">
        <f t="shared" si="1"/>
        <v>4.63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1">
        <v>1.45</v>
      </c>
      <c r="D9" s="22">
        <v>3.49</v>
      </c>
      <c r="E9" s="21">
        <v>2.29</v>
      </c>
      <c r="F9" s="22">
        <v>1.89</v>
      </c>
      <c r="G9" s="16">
        <v>2.99</v>
      </c>
      <c r="H9" s="22">
        <f t="shared" si="1"/>
        <v>2.422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1">
        <v>2.55</v>
      </c>
      <c r="D10" s="22">
        <v>3.49</v>
      </c>
      <c r="E10" s="21">
        <v>3.49</v>
      </c>
      <c r="F10" s="22">
        <v>3.49</v>
      </c>
      <c r="G10" s="16">
        <v>4.99</v>
      </c>
      <c r="H10" s="22">
        <f t="shared" si="1"/>
        <v>3.602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1">
        <v>4.25</v>
      </c>
      <c r="D11" s="22">
        <v>4.56</v>
      </c>
      <c r="E11" s="21">
        <v>4.99</v>
      </c>
      <c r="F11" s="22">
        <v>3.39</v>
      </c>
      <c r="G11" s="16">
        <v>10.99</v>
      </c>
      <c r="H11" s="22">
        <f t="shared" si="1"/>
        <v>5.636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1">
        <v>2.17</v>
      </c>
      <c r="D12" s="22">
        <v>2.1</v>
      </c>
      <c r="E12" s="21">
        <v>2.49</v>
      </c>
      <c r="F12" s="22">
        <v>2.09</v>
      </c>
      <c r="G12" s="16">
        <v>1.19</v>
      </c>
      <c r="H12" s="22">
        <f t="shared" si="1"/>
        <v>2.008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1">
        <v>4.43</v>
      </c>
      <c r="D13" s="22">
        <v>15.96</v>
      </c>
      <c r="E13" s="21">
        <v>14.99</v>
      </c>
      <c r="F13" s="22">
        <v>7.59</v>
      </c>
      <c r="G13" s="16">
        <v>5.69</v>
      </c>
      <c r="H13" s="22">
        <f t="shared" si="1"/>
        <v>9.732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1">
        <v>4.64</v>
      </c>
      <c r="D14" s="22">
        <v>6.49</v>
      </c>
      <c r="E14" s="21">
        <v>2.39</v>
      </c>
      <c r="F14" s="22">
        <v>3.39</v>
      </c>
      <c r="G14" s="16">
        <v>5.99</v>
      </c>
      <c r="H14" s="22">
        <f t="shared" si="1"/>
        <v>4.58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1">
        <v>3.32</v>
      </c>
      <c r="D15" s="22">
        <v>7.31</v>
      </c>
      <c r="E15" s="21">
        <v>6.49</v>
      </c>
      <c r="F15" s="22">
        <v>5.59</v>
      </c>
      <c r="G15" s="16">
        <v>2.99</v>
      </c>
      <c r="H15" s="22">
        <f t="shared" si="1"/>
        <v>5.14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1">
        <v>3.79</v>
      </c>
      <c r="D16" s="22">
        <v>4.65</v>
      </c>
      <c r="E16" s="21">
        <v>4.99</v>
      </c>
      <c r="F16" s="22">
        <v>4.09</v>
      </c>
      <c r="G16" s="16">
        <v>3.99</v>
      </c>
      <c r="H16" s="22">
        <f t="shared" si="1"/>
        <v>4.302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1">
        <v>0.61</v>
      </c>
      <c r="D17" s="22">
        <v>2.16</v>
      </c>
      <c r="E17" s="21">
        <v>1.79</v>
      </c>
      <c r="F17" s="22">
        <v>1.89</v>
      </c>
      <c r="G17" s="16">
        <v>0.99</v>
      </c>
      <c r="H17" s="22">
        <f t="shared" si="1"/>
        <v>1.488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1">
        <v>2.49</v>
      </c>
      <c r="D18" s="22">
        <v>4.99</v>
      </c>
      <c r="E18" s="21">
        <v>4.99</v>
      </c>
      <c r="F18" s="22">
        <v>3.49</v>
      </c>
      <c r="G18" s="16">
        <v>2.79</v>
      </c>
      <c r="H18" s="22">
        <f t="shared" si="1"/>
        <v>3.75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1">
        <v>3.32</v>
      </c>
      <c r="D19" s="22">
        <v>3.29</v>
      </c>
      <c r="E19" s="21">
        <v>1.99</v>
      </c>
      <c r="F19" s="22">
        <v>2.59</v>
      </c>
      <c r="G19" s="16">
        <v>1.5</v>
      </c>
      <c r="H19" s="22">
        <f t="shared" si="1"/>
        <v>2.538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1">
        <v>0.75</v>
      </c>
      <c r="D20" s="22">
        <v>0.83</v>
      </c>
      <c r="E20" s="21">
        <v>0.69</v>
      </c>
      <c r="F20" s="22">
        <v>1.5</v>
      </c>
      <c r="G20" s="16">
        <v>0.23</v>
      </c>
      <c r="H20" s="22">
        <f t="shared" si="1"/>
        <v>0.8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1">
        <v>3.91</v>
      </c>
      <c r="D21" s="22">
        <v>2.13</v>
      </c>
      <c r="E21" s="21">
        <v>1.99</v>
      </c>
      <c r="F21" s="22">
        <v>1.59</v>
      </c>
      <c r="G21" s="16">
        <v>3.99</v>
      </c>
      <c r="H21" s="22">
        <f t="shared" si="1"/>
        <v>2.722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1">
        <v>3.11</v>
      </c>
      <c r="D22" s="22">
        <v>6.79</v>
      </c>
      <c r="E22" s="20">
        <v>3.49</v>
      </c>
      <c r="F22" s="22">
        <v>3.69</v>
      </c>
      <c r="G22" s="16">
        <v>2.99</v>
      </c>
      <c r="H22" s="22">
        <f t="shared" si="1"/>
        <v>4.014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1">
        <v>2.17</v>
      </c>
      <c r="D23" s="22">
        <v>2.23</v>
      </c>
      <c r="E23" s="21">
        <v>2.49</v>
      </c>
      <c r="F23" s="22">
        <v>2.09</v>
      </c>
      <c r="G23" s="16">
        <v>0.99</v>
      </c>
      <c r="H23" s="22">
        <f t="shared" si="1"/>
        <v>1.994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1">
        <v>4.01</v>
      </c>
      <c r="D24" s="22">
        <v>6.21</v>
      </c>
      <c r="E24" s="20">
        <v>5.99</v>
      </c>
      <c r="F24" s="22">
        <v>4.09</v>
      </c>
      <c r="G24" s="16">
        <v>2.79</v>
      </c>
      <c r="H24" s="22">
        <f t="shared" si="1"/>
        <v>4.618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1">
        <v>5.4</v>
      </c>
      <c r="D25" s="22">
        <v>8.49</v>
      </c>
      <c r="E25" s="20">
        <v>6.99</v>
      </c>
      <c r="F25" s="22">
        <v>7.39</v>
      </c>
      <c r="G25" s="16">
        <v>4.49</v>
      </c>
      <c r="H25" s="22">
        <f t="shared" si="1"/>
        <v>6.552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1">
        <v>7.59</v>
      </c>
      <c r="D26" s="22">
        <v>10.42</v>
      </c>
      <c r="E26" s="21">
        <v>5.49</v>
      </c>
      <c r="F26" s="22">
        <v>7.09</v>
      </c>
      <c r="G26" s="16">
        <v>6.49</v>
      </c>
      <c r="H26" s="22">
        <f t="shared" si="1"/>
        <v>7.416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1">
        <v>1.09</v>
      </c>
      <c r="D27" s="22">
        <v>2.99</v>
      </c>
      <c r="E27" s="21">
        <v>1.69</v>
      </c>
      <c r="F27" s="22">
        <v>2.19</v>
      </c>
      <c r="G27" s="16">
        <v>1.99</v>
      </c>
      <c r="H27" s="22">
        <f t="shared" si="1"/>
        <v>1.99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1">
        <v>3.32</v>
      </c>
      <c r="D28" s="22">
        <v>3.56</v>
      </c>
      <c r="E28" s="21">
        <v>2.99</v>
      </c>
      <c r="F28" s="22">
        <v>2.79</v>
      </c>
      <c r="G28" s="16">
        <v>2.99</v>
      </c>
      <c r="H28" s="22">
        <f t="shared" si="1"/>
        <v>3.13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1">
        <v>4.57</v>
      </c>
      <c r="D29" s="22">
        <v>1.49</v>
      </c>
      <c r="E29" s="21">
        <v>1.29</v>
      </c>
      <c r="F29" s="22">
        <v>1.49</v>
      </c>
      <c r="G29" s="16">
        <v>3.49</v>
      </c>
      <c r="H29" s="22">
        <f t="shared" si="1"/>
        <v>2.466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1">
        <v>2.27</v>
      </c>
      <c r="D30" s="22">
        <v>1.99</v>
      </c>
      <c r="E30" s="21">
        <v>1.29</v>
      </c>
      <c r="F30" s="22">
        <v>1.5</v>
      </c>
      <c r="G30" s="16">
        <v>3.99</v>
      </c>
      <c r="H30" s="22">
        <f t="shared" si="1"/>
        <v>2.208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1">
        <v>3.43</v>
      </c>
      <c r="D31" s="22">
        <v>11.34</v>
      </c>
      <c r="E31" s="20">
        <v>1.99</v>
      </c>
      <c r="F31" s="22">
        <v>2.89</v>
      </c>
      <c r="G31" s="16">
        <v>1.99</v>
      </c>
      <c r="H31" s="22">
        <f t="shared" si="1"/>
        <v>4.328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1">
        <v>2.27</v>
      </c>
      <c r="D32" s="22">
        <v>3.56</v>
      </c>
      <c r="E32" s="21">
        <v>1.49</v>
      </c>
      <c r="F32" s="22">
        <v>2.09</v>
      </c>
      <c r="G32" s="16">
        <v>1.99</v>
      </c>
      <c r="H32" s="22">
        <f t="shared" si="1"/>
        <v>2.28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1">
        <v>7.14</v>
      </c>
      <c r="D33" s="22">
        <v>9.49</v>
      </c>
      <c r="E33" s="21">
        <v>8.99</v>
      </c>
      <c r="F33" s="22">
        <v>10.09</v>
      </c>
      <c r="G33" s="16">
        <v>7.99</v>
      </c>
      <c r="H33" s="22">
        <f t="shared" si="1"/>
        <v>8.74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1">
        <v>4.36</v>
      </c>
      <c r="D34" s="22">
        <v>3.98</v>
      </c>
      <c r="E34" s="21">
        <v>2.29</v>
      </c>
      <c r="F34" s="22">
        <v>3.99</v>
      </c>
      <c r="G34" s="16">
        <v>2.79</v>
      </c>
      <c r="H34" s="22">
        <f t="shared" si="1"/>
        <v>3.482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11"/>
      <c r="G45" s="2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68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1">
        <v>4.48</v>
      </c>
      <c r="D2" s="22">
        <v>6.2</v>
      </c>
      <c r="E2" s="21">
        <v>4.59</v>
      </c>
      <c r="F2" s="22">
        <v>5.19</v>
      </c>
      <c r="G2" s="16">
        <v>2.49</v>
      </c>
      <c r="H2" s="22">
        <f t="shared" ref="H2:H34" si="1">AVERAGE(C2:G2)</f>
        <v>4.59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1">
        <v>2.19</v>
      </c>
      <c r="D3" s="22">
        <v>4.99</v>
      </c>
      <c r="E3" s="21">
        <v>4.99</v>
      </c>
      <c r="F3" s="22">
        <v>3.0</v>
      </c>
      <c r="G3" s="16">
        <v>2.99</v>
      </c>
      <c r="H3" s="22">
        <f t="shared" si="1"/>
        <v>3.632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1">
        <v>0.91</v>
      </c>
      <c r="D4" s="22">
        <v>3.66</v>
      </c>
      <c r="E4" s="21">
        <v>2.99</v>
      </c>
      <c r="F4" s="22">
        <v>1.99</v>
      </c>
      <c r="G4" s="16">
        <v>1.99</v>
      </c>
      <c r="H4" s="22">
        <f t="shared" si="1"/>
        <v>2.308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1">
        <v>3.15</v>
      </c>
      <c r="D5" s="22">
        <v>6.13</v>
      </c>
      <c r="E5" s="21">
        <v>5.99</v>
      </c>
      <c r="F5" s="22">
        <v>3.59</v>
      </c>
      <c r="G5" s="16">
        <v>4.49</v>
      </c>
      <c r="H5" s="22">
        <f t="shared" si="1"/>
        <v>4.67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1">
        <v>6.99</v>
      </c>
      <c r="D6" s="22">
        <v>8.28</v>
      </c>
      <c r="E6" s="21">
        <v>8.99</v>
      </c>
      <c r="F6" s="22">
        <v>6.69</v>
      </c>
      <c r="G6" s="16">
        <v>6.99</v>
      </c>
      <c r="H6" s="22">
        <f t="shared" si="1"/>
        <v>7.588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1">
        <v>1.68</v>
      </c>
      <c r="D7" s="22">
        <v>1.15</v>
      </c>
      <c r="E7" s="21">
        <v>1.18</v>
      </c>
      <c r="F7" s="22">
        <v>2.09</v>
      </c>
      <c r="G7" s="16">
        <v>1.99</v>
      </c>
      <c r="H7" s="22">
        <f t="shared" si="1"/>
        <v>1.618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1">
        <v>4.23</v>
      </c>
      <c r="D8" s="22">
        <v>5.24</v>
      </c>
      <c r="E8" s="20">
        <v>5.99</v>
      </c>
      <c r="F8" s="22">
        <v>3.89</v>
      </c>
      <c r="G8" s="16">
        <v>4.79</v>
      </c>
      <c r="H8" s="22">
        <f t="shared" si="1"/>
        <v>4.828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1">
        <v>1.42</v>
      </c>
      <c r="D9" s="22">
        <v>3.49</v>
      </c>
      <c r="E9" s="21">
        <v>3.79</v>
      </c>
      <c r="F9" s="22">
        <v>1.89</v>
      </c>
      <c r="G9" s="16">
        <v>2.99</v>
      </c>
      <c r="H9" s="22">
        <f t="shared" si="1"/>
        <v>2.716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1">
        <v>2.5</v>
      </c>
      <c r="D10" s="22">
        <v>3.49</v>
      </c>
      <c r="E10" s="21">
        <v>4.79</v>
      </c>
      <c r="F10" s="22">
        <v>3.39</v>
      </c>
      <c r="G10" s="16">
        <v>4.99</v>
      </c>
      <c r="H10" s="22">
        <f t="shared" si="1"/>
        <v>3.832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1">
        <v>4.17</v>
      </c>
      <c r="D11" s="22">
        <v>4.56</v>
      </c>
      <c r="E11" s="20">
        <v>5.39</v>
      </c>
      <c r="F11" s="22">
        <v>3.49</v>
      </c>
      <c r="G11" s="16">
        <v>10.99</v>
      </c>
      <c r="H11" s="22">
        <f t="shared" si="1"/>
        <v>5.72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1">
        <v>2.13</v>
      </c>
      <c r="D12" s="22">
        <v>2.1</v>
      </c>
      <c r="E12" s="21">
        <v>3.19</v>
      </c>
      <c r="F12" s="22">
        <v>2.09</v>
      </c>
      <c r="G12" s="16">
        <v>1.19</v>
      </c>
      <c r="H12" s="22">
        <f t="shared" si="1"/>
        <v>2.14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1">
        <v>4.34</v>
      </c>
      <c r="D13" s="22">
        <v>16.38</v>
      </c>
      <c r="E13" s="21">
        <v>13.99</v>
      </c>
      <c r="F13" s="22">
        <v>7.69</v>
      </c>
      <c r="G13" s="16">
        <v>5.69</v>
      </c>
      <c r="H13" s="22">
        <f t="shared" si="1"/>
        <v>9.618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1">
        <v>4.78</v>
      </c>
      <c r="D14" s="22">
        <v>6.49</v>
      </c>
      <c r="E14" s="21">
        <v>2.19</v>
      </c>
      <c r="F14" s="22">
        <v>3.49</v>
      </c>
      <c r="G14" s="16">
        <v>5.99</v>
      </c>
      <c r="H14" s="22">
        <f t="shared" si="1"/>
        <v>4.588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1">
        <v>3.25</v>
      </c>
      <c r="D15" s="22">
        <v>7.27</v>
      </c>
      <c r="E15" s="21">
        <v>6.99</v>
      </c>
      <c r="F15" s="22">
        <v>5.69</v>
      </c>
      <c r="G15" s="16">
        <v>2.99</v>
      </c>
      <c r="H15" s="22">
        <f t="shared" si="1"/>
        <v>5.238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1">
        <v>3.72</v>
      </c>
      <c r="D16" s="22">
        <v>4.56</v>
      </c>
      <c r="E16" s="21">
        <v>4.19</v>
      </c>
      <c r="F16" s="22">
        <v>4.09</v>
      </c>
      <c r="G16" s="16">
        <v>3.99</v>
      </c>
      <c r="H16" s="22">
        <f t="shared" si="1"/>
        <v>4.11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1">
        <v>0.6</v>
      </c>
      <c r="D17" s="22">
        <v>2.2</v>
      </c>
      <c r="E17" s="21">
        <v>2.19</v>
      </c>
      <c r="F17" s="22">
        <v>1.89</v>
      </c>
      <c r="G17" s="16">
        <v>0.99</v>
      </c>
      <c r="H17" s="22">
        <f t="shared" si="1"/>
        <v>1.574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1">
        <v>2.44</v>
      </c>
      <c r="D18" s="22">
        <v>4.99</v>
      </c>
      <c r="E18" s="21">
        <v>4.99</v>
      </c>
      <c r="F18" s="22">
        <v>3.59</v>
      </c>
      <c r="G18" s="16">
        <v>2.79</v>
      </c>
      <c r="H18" s="22">
        <f t="shared" si="1"/>
        <v>3.76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1">
        <v>3.25</v>
      </c>
      <c r="D19" s="22">
        <v>3.36</v>
      </c>
      <c r="E19" s="21">
        <v>1.99</v>
      </c>
      <c r="F19" s="22">
        <v>2.69</v>
      </c>
      <c r="G19" s="16">
        <v>1.5</v>
      </c>
      <c r="H19" s="22">
        <f t="shared" si="1"/>
        <v>2.558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1">
        <v>0.74</v>
      </c>
      <c r="D20" s="22">
        <v>0.74</v>
      </c>
      <c r="E20" s="21">
        <v>0.99</v>
      </c>
      <c r="F20" s="22">
        <v>1.5</v>
      </c>
      <c r="G20" s="16">
        <v>0.23</v>
      </c>
      <c r="H20" s="22">
        <f t="shared" si="1"/>
        <v>0.84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1">
        <v>3.83</v>
      </c>
      <c r="D21" s="22">
        <v>2.13</v>
      </c>
      <c r="E21" s="21">
        <v>0.95</v>
      </c>
      <c r="F21" s="22">
        <v>1.66</v>
      </c>
      <c r="G21" s="16">
        <v>3.99</v>
      </c>
      <c r="H21" s="22">
        <f t="shared" si="1"/>
        <v>2.512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1">
        <v>3.05</v>
      </c>
      <c r="D22" s="22">
        <v>6.19</v>
      </c>
      <c r="E22" s="20">
        <v>3.89</v>
      </c>
      <c r="F22" s="22">
        <v>3.69</v>
      </c>
      <c r="G22" s="16">
        <v>2.99</v>
      </c>
      <c r="H22" s="22">
        <f t="shared" si="1"/>
        <v>3.962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1">
        <v>2.13</v>
      </c>
      <c r="D23" s="22">
        <v>2.22</v>
      </c>
      <c r="E23" s="21">
        <v>2.49</v>
      </c>
      <c r="F23" s="22">
        <v>2.09</v>
      </c>
      <c r="G23" s="16">
        <v>0.99</v>
      </c>
      <c r="H23" s="22">
        <f t="shared" si="1"/>
        <v>1.984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1">
        <v>3.93</v>
      </c>
      <c r="D24" s="22">
        <v>6.13</v>
      </c>
      <c r="E24" s="21">
        <v>7.49</v>
      </c>
      <c r="F24" s="22">
        <v>4.19</v>
      </c>
      <c r="G24" s="16">
        <v>2.79</v>
      </c>
      <c r="H24" s="22">
        <f t="shared" si="1"/>
        <v>4.906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1">
        <v>5.29</v>
      </c>
      <c r="D25" s="22">
        <v>8.49</v>
      </c>
      <c r="E25" s="20">
        <v>6.99</v>
      </c>
      <c r="F25" s="22">
        <v>7.39</v>
      </c>
      <c r="G25" s="16">
        <v>4.49</v>
      </c>
      <c r="H25" s="22">
        <f t="shared" si="1"/>
        <v>6.53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1">
        <v>7.44</v>
      </c>
      <c r="D26" s="22">
        <v>10.48</v>
      </c>
      <c r="E26" s="21">
        <v>5.69</v>
      </c>
      <c r="F26" s="22">
        <v>7.19</v>
      </c>
      <c r="G26" s="16">
        <v>6.49</v>
      </c>
      <c r="H26" s="22">
        <f t="shared" si="1"/>
        <v>7.458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1">
        <v>1.07</v>
      </c>
      <c r="D27" s="22">
        <v>2.99</v>
      </c>
      <c r="E27" s="21">
        <v>2.69</v>
      </c>
      <c r="F27" s="22">
        <v>2.09</v>
      </c>
      <c r="G27" s="16">
        <v>1.99</v>
      </c>
      <c r="H27" s="22">
        <f t="shared" si="1"/>
        <v>2.166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1">
        <v>3.25</v>
      </c>
      <c r="D28" s="22">
        <v>3.7</v>
      </c>
      <c r="E28" s="21">
        <v>1.99</v>
      </c>
      <c r="F28" s="22">
        <v>2.79</v>
      </c>
      <c r="G28" s="16">
        <v>2.99</v>
      </c>
      <c r="H28" s="22">
        <f t="shared" si="1"/>
        <v>2.944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1">
        <v>4.48</v>
      </c>
      <c r="D29" s="22">
        <v>1.49</v>
      </c>
      <c r="E29" s="21">
        <v>1.49</v>
      </c>
      <c r="F29" s="22">
        <v>1.49</v>
      </c>
      <c r="G29" s="16">
        <v>3.49</v>
      </c>
      <c r="H29" s="22">
        <f t="shared" si="1"/>
        <v>2.488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1">
        <v>2.23</v>
      </c>
      <c r="D30" s="22">
        <v>1.99</v>
      </c>
      <c r="E30" s="21">
        <v>1.29</v>
      </c>
      <c r="F30" s="22">
        <v>1.5</v>
      </c>
      <c r="G30" s="16">
        <v>3.99</v>
      </c>
      <c r="H30" s="22">
        <f t="shared" si="1"/>
        <v>2.2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1">
        <v>3.36</v>
      </c>
      <c r="D31" s="22">
        <v>11.99</v>
      </c>
      <c r="E31" s="20">
        <v>2.29</v>
      </c>
      <c r="F31" s="22">
        <v>2.99</v>
      </c>
      <c r="G31" s="16">
        <v>1.99</v>
      </c>
      <c r="H31" s="22">
        <f t="shared" si="1"/>
        <v>4.524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1">
        <v>2.23</v>
      </c>
      <c r="D32" s="22">
        <v>3.7</v>
      </c>
      <c r="E32" s="21">
        <v>1.49</v>
      </c>
      <c r="F32" s="22">
        <v>2.09</v>
      </c>
      <c r="G32" s="16">
        <v>1.99</v>
      </c>
      <c r="H32" s="22">
        <f t="shared" si="1"/>
        <v>2.3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1">
        <v>7.0</v>
      </c>
      <c r="D33" s="22">
        <v>9.49</v>
      </c>
      <c r="E33" s="21">
        <v>6.49</v>
      </c>
      <c r="F33" s="22">
        <v>10.19</v>
      </c>
      <c r="G33" s="16">
        <v>7.99</v>
      </c>
      <c r="H33" s="22">
        <f t="shared" si="1"/>
        <v>8.232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1">
        <v>4.27</v>
      </c>
      <c r="D34" s="22">
        <v>3.85</v>
      </c>
      <c r="E34" s="21">
        <v>2.39</v>
      </c>
      <c r="F34" s="22">
        <v>3.89</v>
      </c>
      <c r="G34" s="16">
        <v>2.79</v>
      </c>
      <c r="H34" s="22">
        <f t="shared" si="1"/>
        <v>3.438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11"/>
      <c r="G45" s="2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68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1">
        <v>3.63</v>
      </c>
      <c r="D2" s="22">
        <v>6.2</v>
      </c>
      <c r="E2" s="21">
        <v>4.79</v>
      </c>
      <c r="F2" s="22">
        <v>5.19</v>
      </c>
      <c r="G2" s="16">
        <v>2.49</v>
      </c>
      <c r="H2" s="22">
        <f t="shared" ref="H2:H34" si="1">AVERAGE(C2:G2)</f>
        <v>4.46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1">
        <v>2.09</v>
      </c>
      <c r="D3" s="22">
        <v>4.99</v>
      </c>
      <c r="E3" s="21">
        <v>3.99</v>
      </c>
      <c r="F3" s="22">
        <v>3.0</v>
      </c>
      <c r="G3" s="16">
        <v>2.99</v>
      </c>
      <c r="H3" s="22">
        <f t="shared" si="1"/>
        <v>3.412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1">
        <v>0.88</v>
      </c>
      <c r="D4" s="22">
        <v>3.67</v>
      </c>
      <c r="E4" s="21">
        <v>3.19</v>
      </c>
      <c r="F4" s="22">
        <v>1.99</v>
      </c>
      <c r="G4" s="16">
        <v>1.99</v>
      </c>
      <c r="H4" s="22">
        <f t="shared" si="1"/>
        <v>2.344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1">
        <v>3.02</v>
      </c>
      <c r="D5" s="22">
        <v>6.05</v>
      </c>
      <c r="E5" s="21">
        <v>3.49</v>
      </c>
      <c r="F5" s="22">
        <v>3.69</v>
      </c>
      <c r="G5" s="16">
        <v>4.49</v>
      </c>
      <c r="H5" s="22">
        <f t="shared" si="1"/>
        <v>4.148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1">
        <v>6.35</v>
      </c>
      <c r="D6" s="22">
        <v>8.28</v>
      </c>
      <c r="E6" s="20">
        <v>5.69</v>
      </c>
      <c r="F6" s="22">
        <v>6.69</v>
      </c>
      <c r="G6" s="16">
        <v>6.99</v>
      </c>
      <c r="H6" s="22">
        <f t="shared" si="1"/>
        <v>6.8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1">
        <v>1.88</v>
      </c>
      <c r="D7" s="22">
        <v>1.16</v>
      </c>
      <c r="E7" s="21">
        <v>1.13</v>
      </c>
      <c r="F7" s="22">
        <v>2.09</v>
      </c>
      <c r="G7" s="16">
        <v>1.99</v>
      </c>
      <c r="H7" s="22">
        <f t="shared" si="1"/>
        <v>1.65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1">
        <v>3.76</v>
      </c>
      <c r="D8" s="22">
        <v>5.21</v>
      </c>
      <c r="E8" s="21">
        <v>5.89</v>
      </c>
      <c r="F8" s="22">
        <v>3.99</v>
      </c>
      <c r="G8" s="16">
        <v>4.79</v>
      </c>
      <c r="H8" s="22">
        <f t="shared" si="1"/>
        <v>4.728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1">
        <v>1.3</v>
      </c>
      <c r="D9" s="22">
        <v>3.49</v>
      </c>
      <c r="E9" s="21">
        <v>3.79</v>
      </c>
      <c r="F9" s="22">
        <v>1.89</v>
      </c>
      <c r="G9" s="16">
        <v>2.99</v>
      </c>
      <c r="H9" s="22">
        <f t="shared" si="1"/>
        <v>2.692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1">
        <v>1.8</v>
      </c>
      <c r="D10" s="22">
        <v>3.49</v>
      </c>
      <c r="E10" s="21">
        <v>5.19</v>
      </c>
      <c r="F10" s="22">
        <v>3.39</v>
      </c>
      <c r="G10" s="16">
        <v>4.99</v>
      </c>
      <c r="H10" s="22">
        <f t="shared" si="1"/>
        <v>3.772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1">
        <v>7.41</v>
      </c>
      <c r="D11" s="22">
        <v>4.56</v>
      </c>
      <c r="E11" s="20">
        <v>5.19</v>
      </c>
      <c r="F11" s="22">
        <v>3.49</v>
      </c>
      <c r="G11" s="16">
        <v>10.99</v>
      </c>
      <c r="H11" s="22">
        <f t="shared" si="1"/>
        <v>6.328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1">
        <v>2.06</v>
      </c>
      <c r="D12" s="22">
        <v>2.1</v>
      </c>
      <c r="E12" s="21">
        <v>3.19</v>
      </c>
      <c r="F12" s="22">
        <v>2.09</v>
      </c>
      <c r="G12" s="16">
        <v>1.19</v>
      </c>
      <c r="H12" s="22">
        <f t="shared" si="1"/>
        <v>2.126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1">
        <v>4.05</v>
      </c>
      <c r="D13" s="22">
        <v>16.81</v>
      </c>
      <c r="E13" s="21">
        <v>14.99</v>
      </c>
      <c r="F13" s="22">
        <v>7.69</v>
      </c>
      <c r="G13" s="16">
        <v>5.69</v>
      </c>
      <c r="H13" s="22">
        <f t="shared" si="1"/>
        <v>9.846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1">
        <v>3.38</v>
      </c>
      <c r="D14" s="22">
        <v>6.49</v>
      </c>
      <c r="E14" s="21">
        <v>2.99</v>
      </c>
      <c r="F14" s="22">
        <v>3.49</v>
      </c>
      <c r="G14" s="16">
        <v>5.99</v>
      </c>
      <c r="H14" s="22">
        <f t="shared" si="1"/>
        <v>4.468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1">
        <v>3.25</v>
      </c>
      <c r="D15" s="22">
        <v>7.23</v>
      </c>
      <c r="E15" s="21">
        <v>5.99</v>
      </c>
      <c r="F15" s="22">
        <v>5.69</v>
      </c>
      <c r="G15" s="16">
        <v>2.99</v>
      </c>
      <c r="H15" s="22">
        <f t="shared" si="1"/>
        <v>5.03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1">
        <v>2.71</v>
      </c>
      <c r="D16" s="22">
        <v>4.47</v>
      </c>
      <c r="E16" s="21">
        <v>5.49</v>
      </c>
      <c r="F16" s="22">
        <v>4.09</v>
      </c>
      <c r="G16" s="16">
        <v>3.99</v>
      </c>
      <c r="H16" s="22">
        <f t="shared" si="1"/>
        <v>4.15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1">
        <v>2.04</v>
      </c>
      <c r="D17" s="22">
        <v>2.24</v>
      </c>
      <c r="E17" s="21">
        <v>2.49</v>
      </c>
      <c r="F17" s="22">
        <v>1.89</v>
      </c>
      <c r="G17" s="16">
        <v>0.99</v>
      </c>
      <c r="H17" s="22">
        <f t="shared" si="1"/>
        <v>1.93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1">
        <v>2.26</v>
      </c>
      <c r="D18" s="22">
        <v>4.99</v>
      </c>
      <c r="E18" s="21">
        <v>4.79</v>
      </c>
      <c r="F18" s="22">
        <v>3.59</v>
      </c>
      <c r="G18" s="16">
        <v>2.79</v>
      </c>
      <c r="H18" s="22">
        <f t="shared" si="1"/>
        <v>3.684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1">
        <v>2.77</v>
      </c>
      <c r="D19" s="22">
        <v>3.43</v>
      </c>
      <c r="E19" s="21">
        <v>2.99</v>
      </c>
      <c r="F19" s="22">
        <v>2.69</v>
      </c>
      <c r="G19" s="16">
        <v>1.5</v>
      </c>
      <c r="H19" s="22">
        <f t="shared" si="1"/>
        <v>2.676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1">
        <v>0.73</v>
      </c>
      <c r="D20" s="22">
        <v>0.65</v>
      </c>
      <c r="E20" s="21">
        <v>0.79</v>
      </c>
      <c r="F20" s="22">
        <v>1.5</v>
      </c>
      <c r="G20" s="16">
        <v>0.23</v>
      </c>
      <c r="H20" s="22">
        <f t="shared" si="1"/>
        <v>0.78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1">
        <v>2.56</v>
      </c>
      <c r="D21" s="22">
        <v>2.13</v>
      </c>
      <c r="E21" s="21">
        <v>0.79</v>
      </c>
      <c r="F21" s="22">
        <v>1.66</v>
      </c>
      <c r="G21" s="16">
        <v>3.99</v>
      </c>
      <c r="H21" s="22">
        <f t="shared" si="1"/>
        <v>2.226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1">
        <v>2.04</v>
      </c>
      <c r="D22" s="22">
        <v>5.59</v>
      </c>
      <c r="E22" s="20">
        <v>3.99</v>
      </c>
      <c r="F22" s="22">
        <v>3.59</v>
      </c>
      <c r="G22" s="16">
        <v>2.99</v>
      </c>
      <c r="H22" s="22">
        <f t="shared" si="1"/>
        <v>3.64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1">
        <v>2.01</v>
      </c>
      <c r="D23" s="22">
        <v>2.2</v>
      </c>
      <c r="E23" s="21">
        <v>2.49</v>
      </c>
      <c r="F23" s="22">
        <v>2.09</v>
      </c>
      <c r="G23" s="16">
        <v>0.99</v>
      </c>
      <c r="H23" s="22">
        <f t="shared" si="1"/>
        <v>1.956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1">
        <v>3.21</v>
      </c>
      <c r="D24" s="22">
        <v>6.06</v>
      </c>
      <c r="E24" s="20">
        <v>6.99</v>
      </c>
      <c r="F24" s="22">
        <v>4.19</v>
      </c>
      <c r="G24" s="16">
        <v>2.79</v>
      </c>
      <c r="H24" s="22">
        <f t="shared" si="1"/>
        <v>4.648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1">
        <v>4.64</v>
      </c>
      <c r="D25" s="22">
        <v>8.49</v>
      </c>
      <c r="E25" s="20">
        <v>6.99</v>
      </c>
      <c r="F25" s="22">
        <v>7.39</v>
      </c>
      <c r="G25" s="16">
        <v>4.49</v>
      </c>
      <c r="H25" s="22">
        <f t="shared" si="1"/>
        <v>6.4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1">
        <v>6.37</v>
      </c>
      <c r="D26" s="22">
        <v>10.54</v>
      </c>
      <c r="E26" s="21">
        <v>7.49</v>
      </c>
      <c r="F26" s="22">
        <v>7.19</v>
      </c>
      <c r="G26" s="16">
        <v>6.49</v>
      </c>
      <c r="H26" s="22">
        <f t="shared" si="1"/>
        <v>7.616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1">
        <v>1.53</v>
      </c>
      <c r="D27" s="22">
        <v>2.99</v>
      </c>
      <c r="E27" s="21">
        <v>1.99</v>
      </c>
      <c r="F27" s="22">
        <v>2.09</v>
      </c>
      <c r="G27" s="16">
        <v>1.99</v>
      </c>
      <c r="H27" s="22">
        <f t="shared" si="1"/>
        <v>2.118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1">
        <v>3.22</v>
      </c>
      <c r="D28" s="22">
        <v>3.85</v>
      </c>
      <c r="E28" s="21">
        <v>1.99</v>
      </c>
      <c r="F28" s="22">
        <v>2.89</v>
      </c>
      <c r="G28" s="16">
        <v>2.99</v>
      </c>
      <c r="H28" s="22">
        <f t="shared" si="1"/>
        <v>2.988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1">
        <v>2.45</v>
      </c>
      <c r="D29" s="22">
        <v>1.49</v>
      </c>
      <c r="E29" s="21">
        <v>1.59</v>
      </c>
      <c r="F29" s="22">
        <v>1.49</v>
      </c>
      <c r="G29" s="16">
        <v>3.49</v>
      </c>
      <c r="H29" s="22">
        <f t="shared" si="1"/>
        <v>2.102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1">
        <v>1.67</v>
      </c>
      <c r="D30" s="22">
        <v>1.99</v>
      </c>
      <c r="E30" s="21">
        <v>1.89</v>
      </c>
      <c r="F30" s="22">
        <v>1.5</v>
      </c>
      <c r="G30" s="16">
        <v>3.99</v>
      </c>
      <c r="H30" s="22">
        <f t="shared" si="1"/>
        <v>2.208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1">
        <v>2.3</v>
      </c>
      <c r="D31" s="22">
        <v>12.65</v>
      </c>
      <c r="E31" s="20">
        <v>2.29</v>
      </c>
      <c r="F31" s="22">
        <v>2.99</v>
      </c>
      <c r="G31" s="16">
        <v>1.99</v>
      </c>
      <c r="H31" s="22">
        <f t="shared" si="1"/>
        <v>4.444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1">
        <v>1.64</v>
      </c>
      <c r="D32" s="22">
        <v>3.85</v>
      </c>
      <c r="E32" s="21">
        <v>1.49</v>
      </c>
      <c r="F32" s="22">
        <v>2.09</v>
      </c>
      <c r="G32" s="16">
        <v>1.99</v>
      </c>
      <c r="H32" s="22">
        <f t="shared" si="1"/>
        <v>2.212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1">
        <v>6.39</v>
      </c>
      <c r="D33" s="22">
        <v>9.49</v>
      </c>
      <c r="E33" s="21">
        <v>3.49</v>
      </c>
      <c r="F33" s="22">
        <v>10.19</v>
      </c>
      <c r="G33" s="16">
        <v>7.99</v>
      </c>
      <c r="H33" s="22">
        <f t="shared" si="1"/>
        <v>7.51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1">
        <v>2.88</v>
      </c>
      <c r="D34" s="22">
        <v>3.72</v>
      </c>
      <c r="E34" s="21">
        <v>3.39</v>
      </c>
      <c r="F34" s="22">
        <v>3.79</v>
      </c>
      <c r="G34" s="16">
        <v>2.79</v>
      </c>
      <c r="H34" s="22">
        <f t="shared" si="1"/>
        <v>3.314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11"/>
      <c r="G45" s="24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63</v>
      </c>
      <c r="E1" s="18" t="s">
        <v>64</v>
      </c>
      <c r="F1" s="18" t="s">
        <v>65</v>
      </c>
      <c r="G1" s="18" t="s">
        <v>68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6">
        <v>2.87</v>
      </c>
      <c r="D2" s="26">
        <v>5.29</v>
      </c>
      <c r="E2" s="26">
        <v>7.4</v>
      </c>
      <c r="F2" s="16">
        <v>2.49</v>
      </c>
      <c r="G2" s="26">
        <v>6.2</v>
      </c>
      <c r="H2" s="27">
        <f t="shared" ref="H2:H34" si="1">AVERAGE(C2:F2)</f>
        <v>4.5125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6">
        <v>2.05</v>
      </c>
      <c r="D3" s="26">
        <v>4.19</v>
      </c>
      <c r="E3" s="26">
        <v>3.0</v>
      </c>
      <c r="F3" s="16">
        <v>2.99</v>
      </c>
      <c r="G3" s="26">
        <v>4.99</v>
      </c>
      <c r="H3" s="27">
        <f t="shared" si="1"/>
        <v>3.0575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6">
        <v>0.92</v>
      </c>
      <c r="D4" s="26">
        <v>2.99</v>
      </c>
      <c r="E4" s="26">
        <v>2.48</v>
      </c>
      <c r="F4" s="16">
        <v>1.99</v>
      </c>
      <c r="G4" s="26">
        <v>3.68</v>
      </c>
      <c r="H4" s="27">
        <f t="shared" si="1"/>
        <v>2.095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6">
        <v>3.08</v>
      </c>
      <c r="D5" s="26">
        <v>4.69</v>
      </c>
      <c r="E5" s="26">
        <v>4.09</v>
      </c>
      <c r="F5" s="16">
        <v>4.49</v>
      </c>
      <c r="G5" s="26">
        <v>5.99</v>
      </c>
      <c r="H5" s="27">
        <f t="shared" si="1"/>
        <v>4.0875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6">
        <v>5.96</v>
      </c>
      <c r="D6" s="26">
        <v>17.99</v>
      </c>
      <c r="E6" s="26">
        <v>17.19</v>
      </c>
      <c r="F6" s="16">
        <v>6.99</v>
      </c>
      <c r="G6" s="28">
        <v>8.28</v>
      </c>
      <c r="H6" s="27">
        <f t="shared" si="1"/>
        <v>12.0325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6">
        <v>2.26</v>
      </c>
      <c r="D7" s="26">
        <v>1.09</v>
      </c>
      <c r="E7" s="26">
        <v>1.02</v>
      </c>
      <c r="F7" s="16">
        <v>1.99</v>
      </c>
      <c r="G7" s="26">
        <v>1.16</v>
      </c>
      <c r="H7" s="27">
        <f t="shared" si="1"/>
        <v>1.59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6">
        <v>3.49</v>
      </c>
      <c r="D8" s="26">
        <v>4.99</v>
      </c>
      <c r="E8" s="26">
        <v>6.19</v>
      </c>
      <c r="F8" s="16">
        <v>4.79</v>
      </c>
      <c r="G8" s="26">
        <v>5.19</v>
      </c>
      <c r="H8" s="27">
        <f t="shared" si="1"/>
        <v>4.865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6">
        <v>1.33</v>
      </c>
      <c r="D9" s="26">
        <v>3.69</v>
      </c>
      <c r="E9" s="26">
        <v>2.69</v>
      </c>
      <c r="F9" s="16">
        <v>2.99</v>
      </c>
      <c r="G9" s="26">
        <v>3.49</v>
      </c>
      <c r="H9" s="27">
        <f t="shared" si="1"/>
        <v>2.675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6">
        <v>1.23</v>
      </c>
      <c r="D10" s="26">
        <v>4.69</v>
      </c>
      <c r="E10" s="26">
        <v>2.89</v>
      </c>
      <c r="F10" s="16">
        <v>4.99</v>
      </c>
      <c r="G10" s="26">
        <v>3.49</v>
      </c>
      <c r="H10" s="27">
        <f t="shared" si="1"/>
        <v>3.45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6">
        <v>7.79</v>
      </c>
      <c r="D11" s="26">
        <v>1.99</v>
      </c>
      <c r="E11" s="26">
        <v>3.89</v>
      </c>
      <c r="F11" s="16">
        <v>10.99</v>
      </c>
      <c r="G11" s="26">
        <v>4.56</v>
      </c>
      <c r="H11" s="27">
        <f t="shared" si="1"/>
        <v>6.165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6">
        <v>2.15</v>
      </c>
      <c r="D12" s="26">
        <v>2.99</v>
      </c>
      <c r="E12" s="26">
        <v>3.08</v>
      </c>
      <c r="F12" s="16">
        <v>1.19</v>
      </c>
      <c r="G12" s="26">
        <v>2.1</v>
      </c>
      <c r="H12" s="27">
        <f t="shared" si="1"/>
        <v>2.3525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6">
        <v>3.9</v>
      </c>
      <c r="D13" s="26">
        <v>14.59</v>
      </c>
      <c r="E13" s="26">
        <v>8.69</v>
      </c>
      <c r="F13" s="16">
        <v>5.69</v>
      </c>
      <c r="G13" s="26">
        <v>17.18</v>
      </c>
      <c r="H13" s="27">
        <f t="shared" si="1"/>
        <v>8.2175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6">
        <v>2.05</v>
      </c>
      <c r="D14" s="26">
        <v>3.99</v>
      </c>
      <c r="E14" s="26">
        <v>10.49</v>
      </c>
      <c r="F14" s="16">
        <v>5.99</v>
      </c>
      <c r="G14" s="26">
        <v>6.49</v>
      </c>
      <c r="H14" s="27">
        <f t="shared" si="1"/>
        <v>5.63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6">
        <v>3.39</v>
      </c>
      <c r="D15" s="26">
        <v>5.99</v>
      </c>
      <c r="E15" s="26">
        <v>6.79</v>
      </c>
      <c r="F15" s="16">
        <v>2.99</v>
      </c>
      <c r="G15" s="26">
        <v>7.19</v>
      </c>
      <c r="H15" s="27">
        <f t="shared" si="1"/>
        <v>4.79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6">
        <v>1.74</v>
      </c>
      <c r="D16" s="26">
        <v>5.49</v>
      </c>
      <c r="E16" s="26">
        <v>4.69</v>
      </c>
      <c r="F16" s="16">
        <v>3.99</v>
      </c>
      <c r="G16" s="26">
        <v>4.39</v>
      </c>
      <c r="H16" s="27">
        <f t="shared" si="1"/>
        <v>3.9775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6">
        <v>3.59</v>
      </c>
      <c r="D17" s="26">
        <v>1.67</v>
      </c>
      <c r="E17" s="26">
        <v>3.29</v>
      </c>
      <c r="F17" s="16">
        <v>0.99</v>
      </c>
      <c r="G17" s="26">
        <v>2.27</v>
      </c>
      <c r="H17" s="27">
        <f t="shared" si="1"/>
        <v>2.385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6">
        <v>2.26</v>
      </c>
      <c r="D18" s="26">
        <v>3.0</v>
      </c>
      <c r="E18" s="26">
        <v>4.91</v>
      </c>
      <c r="F18" s="16">
        <v>2.79</v>
      </c>
      <c r="G18" s="26">
        <v>4.99</v>
      </c>
      <c r="H18" s="27">
        <f t="shared" si="1"/>
        <v>3.24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6">
        <v>2.46</v>
      </c>
      <c r="D19" s="26">
        <v>1.99</v>
      </c>
      <c r="E19" s="26">
        <v>3.49</v>
      </c>
      <c r="F19" s="16">
        <v>1.5</v>
      </c>
      <c r="G19" s="26">
        <v>3.5</v>
      </c>
      <c r="H19" s="27">
        <f t="shared" si="1"/>
        <v>2.36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6">
        <v>0.77</v>
      </c>
      <c r="D20" s="26">
        <v>0.99</v>
      </c>
      <c r="E20" s="26">
        <v>0.79</v>
      </c>
      <c r="F20" s="16">
        <v>0.23</v>
      </c>
      <c r="G20" s="26">
        <v>0.56</v>
      </c>
      <c r="H20" s="27">
        <f t="shared" si="1"/>
        <v>0.695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6">
        <v>1.43</v>
      </c>
      <c r="D21" s="26">
        <v>4.99</v>
      </c>
      <c r="E21" s="26">
        <v>1.75</v>
      </c>
      <c r="F21" s="16">
        <v>3.99</v>
      </c>
      <c r="G21" s="26">
        <v>2.13</v>
      </c>
      <c r="H21" s="27">
        <f t="shared" si="1"/>
        <v>3.04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6">
        <v>1.12</v>
      </c>
      <c r="D22" s="26">
        <v>3.99</v>
      </c>
      <c r="E22" s="26">
        <v>2.69</v>
      </c>
      <c r="F22" s="16">
        <v>2.99</v>
      </c>
      <c r="G22" s="26">
        <v>4.99</v>
      </c>
      <c r="H22" s="27">
        <f t="shared" si="1"/>
        <v>2.6975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6">
        <v>1.95</v>
      </c>
      <c r="D23" s="26">
        <v>2.0</v>
      </c>
      <c r="E23" s="26">
        <v>2.39</v>
      </c>
      <c r="F23" s="16">
        <v>0.99</v>
      </c>
      <c r="G23" s="26">
        <v>2.19</v>
      </c>
      <c r="H23" s="27">
        <f t="shared" si="1"/>
        <v>1.8325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6">
        <v>2.67</v>
      </c>
      <c r="D24" s="26">
        <v>6.99</v>
      </c>
      <c r="E24" s="26">
        <v>5.79</v>
      </c>
      <c r="F24" s="16">
        <v>2.79</v>
      </c>
      <c r="G24" s="26">
        <v>5.99</v>
      </c>
      <c r="H24" s="27">
        <f t="shared" si="1"/>
        <v>4.56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6">
        <v>4.21</v>
      </c>
      <c r="D25" s="26">
        <v>6.99</v>
      </c>
      <c r="E25" s="26">
        <v>7.59</v>
      </c>
      <c r="F25" s="16">
        <v>4.49</v>
      </c>
      <c r="G25" s="26">
        <v>8.49</v>
      </c>
      <c r="H25" s="27">
        <f t="shared" si="1"/>
        <v>5.82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6">
        <v>5.55</v>
      </c>
      <c r="D26" s="26">
        <v>9.99</v>
      </c>
      <c r="E26" s="26">
        <v>7.59</v>
      </c>
      <c r="F26" s="16">
        <v>6.49</v>
      </c>
      <c r="G26" s="26">
        <v>10.59</v>
      </c>
      <c r="H26" s="27">
        <f t="shared" si="1"/>
        <v>7.405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6">
        <v>2.15</v>
      </c>
      <c r="D27" s="26">
        <v>1.0</v>
      </c>
      <c r="E27" s="26">
        <v>1.69</v>
      </c>
      <c r="F27" s="16">
        <v>1.99</v>
      </c>
      <c r="G27" s="26">
        <v>2.99</v>
      </c>
      <c r="H27" s="27">
        <f t="shared" si="1"/>
        <v>1.7075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6">
        <v>3.39</v>
      </c>
      <c r="D28" s="26">
        <v>1.99</v>
      </c>
      <c r="E28" s="26">
        <v>2.89</v>
      </c>
      <c r="F28" s="16">
        <v>2.99</v>
      </c>
      <c r="G28" s="26">
        <v>3.99</v>
      </c>
      <c r="H28" s="27">
        <f t="shared" si="1"/>
        <v>2.815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6">
        <v>0.46</v>
      </c>
      <c r="D29" s="26">
        <v>1.49</v>
      </c>
      <c r="E29" s="26">
        <v>1.49</v>
      </c>
      <c r="F29" s="16">
        <v>3.49</v>
      </c>
      <c r="G29" s="26">
        <v>1.49</v>
      </c>
      <c r="H29" s="27">
        <f t="shared" si="1"/>
        <v>1.7325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6">
        <v>1.23</v>
      </c>
      <c r="D30" s="26">
        <v>1.29</v>
      </c>
      <c r="E30" s="26">
        <v>1.49</v>
      </c>
      <c r="F30" s="16">
        <v>3.99</v>
      </c>
      <c r="G30" s="26">
        <v>1.99</v>
      </c>
      <c r="H30" s="27">
        <f t="shared" si="1"/>
        <v>2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6">
        <v>1.33</v>
      </c>
      <c r="D31" s="26">
        <v>3.99</v>
      </c>
      <c r="E31" s="26">
        <v>4.09</v>
      </c>
      <c r="F31" s="16">
        <v>1.99</v>
      </c>
      <c r="G31" s="26">
        <v>13.3</v>
      </c>
      <c r="H31" s="27">
        <f t="shared" si="1"/>
        <v>2.85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6">
        <v>1.12</v>
      </c>
      <c r="D32" s="26">
        <v>2.99</v>
      </c>
      <c r="E32" s="26">
        <v>2.39</v>
      </c>
      <c r="F32" s="16">
        <v>1.99</v>
      </c>
      <c r="G32" s="26">
        <v>3.99</v>
      </c>
      <c r="H32" s="27">
        <f t="shared" si="1"/>
        <v>2.1225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6">
        <v>6.07</v>
      </c>
      <c r="D33" s="26">
        <v>3.99</v>
      </c>
      <c r="E33" s="26">
        <v>11.39</v>
      </c>
      <c r="F33" s="16">
        <v>7.99</v>
      </c>
      <c r="G33" s="26">
        <v>9.49</v>
      </c>
      <c r="H33" s="27">
        <f t="shared" si="1"/>
        <v>7.36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6">
        <v>1.64</v>
      </c>
      <c r="D34" s="26">
        <v>2.29</v>
      </c>
      <c r="E34" s="26">
        <v>1.27</v>
      </c>
      <c r="F34" s="16">
        <v>2.79</v>
      </c>
      <c r="G34" s="26">
        <v>3.59</v>
      </c>
      <c r="H34" s="27">
        <f t="shared" si="1"/>
        <v>1.9975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2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2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9" width="11.88"/>
  </cols>
  <sheetData>
    <row r="1" ht="19.5" customHeight="1">
      <c r="A1" s="17" t="s">
        <v>0</v>
      </c>
      <c r="B1" s="18" t="s">
        <v>1</v>
      </c>
      <c r="C1" s="18" t="s">
        <v>62</v>
      </c>
      <c r="D1" s="18" t="s">
        <v>63</v>
      </c>
      <c r="E1" s="18" t="s">
        <v>64</v>
      </c>
      <c r="F1" s="18" t="s">
        <v>65</v>
      </c>
      <c r="G1" s="18" t="s">
        <v>68</v>
      </c>
      <c r="H1" s="18" t="s">
        <v>66</v>
      </c>
      <c r="I1" s="18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7.0" customHeight="1">
      <c r="A2" s="19" t="s">
        <v>16</v>
      </c>
      <c r="B2" s="20" t="s">
        <v>17</v>
      </c>
      <c r="C2" s="21">
        <v>2.81</v>
      </c>
      <c r="D2" s="21">
        <v>5.4</v>
      </c>
      <c r="E2" s="21">
        <v>6.25</v>
      </c>
      <c r="F2" s="29">
        <v>2.56</v>
      </c>
      <c r="G2" s="21">
        <v>5.95</v>
      </c>
      <c r="H2" s="22">
        <f t="shared" ref="H2:H34" si="1">AVERAGE(C2:F2)</f>
        <v>4.255</v>
      </c>
      <c r="I2" s="12">
        <v>1.83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7.0" customHeight="1">
      <c r="A3" s="19" t="s">
        <v>19</v>
      </c>
      <c r="B3" s="20" t="s">
        <v>20</v>
      </c>
      <c r="C3" s="21">
        <v>2.01</v>
      </c>
      <c r="D3" s="21">
        <v>4.27</v>
      </c>
      <c r="E3" s="21">
        <v>2.94</v>
      </c>
      <c r="F3" s="29">
        <v>3.08</v>
      </c>
      <c r="G3" s="21">
        <v>4.79</v>
      </c>
      <c r="H3" s="22">
        <f t="shared" si="1"/>
        <v>3.075</v>
      </c>
      <c r="I3" s="12">
        <v>1.1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7.0" customHeight="1">
      <c r="A4" s="19" t="s">
        <v>21</v>
      </c>
      <c r="B4" s="20" t="s">
        <v>20</v>
      </c>
      <c r="C4" s="21">
        <v>0.9</v>
      </c>
      <c r="D4" s="21">
        <v>3.05</v>
      </c>
      <c r="E4" s="21">
        <v>2.43</v>
      </c>
      <c r="F4" s="29">
        <v>2.05</v>
      </c>
      <c r="G4" s="21">
        <v>3.68</v>
      </c>
      <c r="H4" s="22">
        <f t="shared" si="1"/>
        <v>2.1075</v>
      </c>
      <c r="I4" s="12">
        <v>0.75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7.0" customHeight="1">
      <c r="A5" s="19" t="s">
        <v>22</v>
      </c>
      <c r="B5" s="20" t="s">
        <v>20</v>
      </c>
      <c r="C5" s="21">
        <v>3.02</v>
      </c>
      <c r="D5" s="21">
        <v>4.78</v>
      </c>
      <c r="E5" s="21">
        <v>4.01</v>
      </c>
      <c r="F5" s="29">
        <v>4.62</v>
      </c>
      <c r="G5" s="21">
        <v>5.75</v>
      </c>
      <c r="H5" s="22">
        <f t="shared" si="1"/>
        <v>4.1075</v>
      </c>
      <c r="I5" s="12">
        <v>3.96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0" customHeight="1">
      <c r="A6" s="19" t="s">
        <v>23</v>
      </c>
      <c r="B6" s="20" t="s">
        <v>24</v>
      </c>
      <c r="C6" s="21">
        <v>5.84</v>
      </c>
      <c r="D6" s="21">
        <v>18.35</v>
      </c>
      <c r="E6" s="21">
        <v>14.19</v>
      </c>
      <c r="F6" s="29">
        <v>7.2</v>
      </c>
      <c r="G6" s="21">
        <v>7.95</v>
      </c>
      <c r="H6" s="22">
        <f t="shared" si="1"/>
        <v>11.395</v>
      </c>
      <c r="I6" s="12">
        <v>9.05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0" customHeight="1">
      <c r="A7" s="19" t="s">
        <v>25</v>
      </c>
      <c r="B7" s="20" t="s">
        <v>24</v>
      </c>
      <c r="C7" s="21">
        <v>2.21</v>
      </c>
      <c r="D7" s="21">
        <v>1.11</v>
      </c>
      <c r="E7" s="21">
        <v>1.0</v>
      </c>
      <c r="F7" s="29">
        <v>2.05</v>
      </c>
      <c r="G7" s="21">
        <v>1.16</v>
      </c>
      <c r="H7" s="22">
        <f t="shared" si="1"/>
        <v>1.5925</v>
      </c>
      <c r="I7" s="12">
        <v>1.31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0" customHeight="1">
      <c r="A8" s="19" t="s">
        <v>26</v>
      </c>
      <c r="B8" s="20" t="s">
        <v>24</v>
      </c>
      <c r="C8" s="21">
        <v>3.42</v>
      </c>
      <c r="D8" s="21">
        <v>5.09</v>
      </c>
      <c r="E8" s="21">
        <v>6.07</v>
      </c>
      <c r="F8" s="29">
        <v>4.93</v>
      </c>
      <c r="G8" s="21">
        <v>4.98</v>
      </c>
      <c r="H8" s="22">
        <f t="shared" si="1"/>
        <v>4.8775</v>
      </c>
      <c r="I8" s="12">
        <v>4.87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0" customHeight="1">
      <c r="A9" s="19" t="s">
        <v>27</v>
      </c>
      <c r="B9" s="20" t="s">
        <v>28</v>
      </c>
      <c r="C9" s="21">
        <v>1.3</v>
      </c>
      <c r="D9" s="21">
        <v>3.76</v>
      </c>
      <c r="E9" s="21">
        <v>2.64</v>
      </c>
      <c r="F9" s="29">
        <v>3.08</v>
      </c>
      <c r="G9" s="21">
        <v>3.49</v>
      </c>
      <c r="H9" s="22">
        <f t="shared" si="1"/>
        <v>2.695</v>
      </c>
      <c r="I9" s="12">
        <v>1.3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0" customHeight="1">
      <c r="A10" s="19" t="s">
        <v>29</v>
      </c>
      <c r="B10" s="20" t="s">
        <v>28</v>
      </c>
      <c r="C10" s="21">
        <v>1.21</v>
      </c>
      <c r="D10" s="21">
        <v>4.78</v>
      </c>
      <c r="E10" s="21">
        <v>2.83</v>
      </c>
      <c r="F10" s="29">
        <v>5.14</v>
      </c>
      <c r="G10" s="21">
        <v>3.49</v>
      </c>
      <c r="H10" s="22">
        <f t="shared" si="1"/>
        <v>3.49</v>
      </c>
      <c r="I10" s="12">
        <v>2.29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0" customHeight="1">
      <c r="A11" s="19" t="s">
        <v>30</v>
      </c>
      <c r="B11" s="20" t="s">
        <v>28</v>
      </c>
      <c r="C11" s="21">
        <v>7.63</v>
      </c>
      <c r="D11" s="21">
        <v>2.03</v>
      </c>
      <c r="E11" s="21">
        <v>3.81</v>
      </c>
      <c r="F11" s="29">
        <v>11.32</v>
      </c>
      <c r="G11" s="21">
        <v>4.38</v>
      </c>
      <c r="H11" s="22">
        <f t="shared" si="1"/>
        <v>6.1975</v>
      </c>
      <c r="I11" s="12">
        <v>5.08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0" customHeight="1">
      <c r="A12" s="19" t="s">
        <v>31</v>
      </c>
      <c r="B12" s="20" t="s">
        <v>28</v>
      </c>
      <c r="C12" s="21">
        <v>2.11</v>
      </c>
      <c r="D12" s="21">
        <v>3.05</v>
      </c>
      <c r="E12" s="21">
        <v>3.02</v>
      </c>
      <c r="F12" s="29">
        <v>1.23</v>
      </c>
      <c r="G12" s="21">
        <v>2.1</v>
      </c>
      <c r="H12" s="22">
        <f t="shared" si="1"/>
        <v>2.3525</v>
      </c>
      <c r="I12" s="12">
        <v>1.71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0" customHeight="1">
      <c r="A13" s="19" t="s">
        <v>32</v>
      </c>
      <c r="B13" s="20" t="s">
        <v>33</v>
      </c>
      <c r="C13" s="21">
        <v>3.82</v>
      </c>
      <c r="D13" s="21">
        <v>14.88</v>
      </c>
      <c r="E13" s="21">
        <v>8.52</v>
      </c>
      <c r="F13" s="29">
        <v>5.86</v>
      </c>
      <c r="G13" s="21">
        <v>16.49</v>
      </c>
      <c r="H13" s="22">
        <f t="shared" si="1"/>
        <v>8.27</v>
      </c>
      <c r="I13" s="12">
        <v>4.05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0" customHeight="1">
      <c r="A14" s="19" t="s">
        <v>34</v>
      </c>
      <c r="B14" s="20" t="s">
        <v>33</v>
      </c>
      <c r="C14" s="21">
        <v>1.95</v>
      </c>
      <c r="D14" s="21">
        <v>3.79</v>
      </c>
      <c r="E14" s="21">
        <v>9.97</v>
      </c>
      <c r="F14" s="29">
        <v>5.69</v>
      </c>
      <c r="G14" s="21">
        <v>6.17</v>
      </c>
      <c r="H14" s="22">
        <f t="shared" si="1"/>
        <v>5.35</v>
      </c>
      <c r="I14" s="12">
        <v>2.71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0" customHeight="1">
      <c r="A15" s="19" t="s">
        <v>35</v>
      </c>
      <c r="B15" s="20" t="s">
        <v>33</v>
      </c>
      <c r="C15" s="21">
        <v>3.32</v>
      </c>
      <c r="D15" s="21">
        <v>6.11</v>
      </c>
      <c r="E15" s="21">
        <v>6.65</v>
      </c>
      <c r="F15" s="29">
        <v>3.08</v>
      </c>
      <c r="G15" s="21">
        <v>6.9</v>
      </c>
      <c r="H15" s="22">
        <f t="shared" si="1"/>
        <v>4.79</v>
      </c>
      <c r="I15" s="12">
        <v>4.38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0" customHeight="1">
      <c r="A16" s="19" t="s">
        <v>36</v>
      </c>
      <c r="B16" s="20" t="s">
        <v>33</v>
      </c>
      <c r="C16" s="21">
        <v>1.71</v>
      </c>
      <c r="D16" s="21">
        <v>5.6</v>
      </c>
      <c r="E16" s="21">
        <v>4.6</v>
      </c>
      <c r="F16" s="29">
        <v>4.11</v>
      </c>
      <c r="G16" s="21">
        <v>4.21</v>
      </c>
      <c r="H16" s="22">
        <f t="shared" si="1"/>
        <v>4.005</v>
      </c>
      <c r="I16" s="12">
        <v>5.98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0" customHeight="1">
      <c r="A17" s="19" t="s">
        <v>37</v>
      </c>
      <c r="B17" s="20" t="s">
        <v>33</v>
      </c>
      <c r="C17" s="21">
        <v>3.52</v>
      </c>
      <c r="D17" s="21">
        <v>1.7</v>
      </c>
      <c r="E17" s="21">
        <v>3.22</v>
      </c>
      <c r="F17" s="29">
        <v>1.02</v>
      </c>
      <c r="G17" s="21">
        <v>2.27</v>
      </c>
      <c r="H17" s="22">
        <f t="shared" si="1"/>
        <v>2.365</v>
      </c>
      <c r="I17" s="12">
        <v>1.52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0" customHeight="1">
      <c r="A18" s="19" t="s">
        <v>38</v>
      </c>
      <c r="B18" s="20" t="s">
        <v>39</v>
      </c>
      <c r="C18" s="21">
        <v>2.21</v>
      </c>
      <c r="D18" s="21">
        <v>3.06</v>
      </c>
      <c r="E18" s="21">
        <v>4.81</v>
      </c>
      <c r="F18" s="29">
        <v>2.87</v>
      </c>
      <c r="G18" s="21">
        <v>4.79</v>
      </c>
      <c r="H18" s="22">
        <f t="shared" si="1"/>
        <v>3.2375</v>
      </c>
      <c r="I18" s="12">
        <v>3.99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0" customHeight="1">
      <c r="A19" s="19" t="s">
        <v>40</v>
      </c>
      <c r="B19" s="20" t="s">
        <v>41</v>
      </c>
      <c r="C19" s="21">
        <v>2.41</v>
      </c>
      <c r="D19" s="21">
        <v>2.03</v>
      </c>
      <c r="E19" s="21">
        <v>3.42</v>
      </c>
      <c r="F19" s="29">
        <v>1.55</v>
      </c>
      <c r="G19" s="21">
        <v>3.5</v>
      </c>
      <c r="H19" s="22">
        <f t="shared" si="1"/>
        <v>2.3525</v>
      </c>
      <c r="I19" s="12">
        <v>1.32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19" t="s">
        <v>42</v>
      </c>
      <c r="B20" s="20" t="s">
        <v>41</v>
      </c>
      <c r="C20" s="21">
        <v>0.75</v>
      </c>
      <c r="D20" s="21">
        <v>1.01</v>
      </c>
      <c r="E20" s="21">
        <v>0.77</v>
      </c>
      <c r="F20" s="29">
        <v>0.24</v>
      </c>
      <c r="G20" s="21">
        <v>0.56</v>
      </c>
      <c r="H20" s="22">
        <f t="shared" si="1"/>
        <v>0.6925</v>
      </c>
      <c r="I20" s="12">
        <v>0.66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0" customHeight="1">
      <c r="A21" s="19" t="s">
        <v>43</v>
      </c>
      <c r="B21" s="20" t="s">
        <v>41</v>
      </c>
      <c r="C21" s="21">
        <v>1.4</v>
      </c>
      <c r="D21" s="21">
        <v>5.09</v>
      </c>
      <c r="E21" s="21">
        <v>1.71</v>
      </c>
      <c r="F21" s="29">
        <v>4.11</v>
      </c>
      <c r="G21" s="21">
        <v>2.13</v>
      </c>
      <c r="H21" s="22">
        <f t="shared" si="1"/>
        <v>3.0775</v>
      </c>
      <c r="I21" s="12">
        <v>1.57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0" customHeight="1">
      <c r="A22" s="19" t="s">
        <v>44</v>
      </c>
      <c r="B22" s="20" t="s">
        <v>45</v>
      </c>
      <c r="C22" s="21">
        <v>1.1</v>
      </c>
      <c r="D22" s="21">
        <v>4.07</v>
      </c>
      <c r="E22" s="21">
        <v>2.64</v>
      </c>
      <c r="F22" s="29">
        <v>3.08</v>
      </c>
      <c r="G22" s="21">
        <v>4.79</v>
      </c>
      <c r="H22" s="22">
        <f t="shared" si="1"/>
        <v>2.7225</v>
      </c>
      <c r="I22" s="12">
        <v>1.08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0" customHeight="1">
      <c r="A23" s="19" t="s">
        <v>46</v>
      </c>
      <c r="B23" s="20" t="s">
        <v>45</v>
      </c>
      <c r="C23" s="21">
        <v>1.91</v>
      </c>
      <c r="D23" s="21">
        <v>2.04</v>
      </c>
      <c r="E23" s="21">
        <v>2.34</v>
      </c>
      <c r="F23" s="29">
        <v>1.02</v>
      </c>
      <c r="G23" s="21">
        <v>2.19</v>
      </c>
      <c r="H23" s="22">
        <f t="shared" si="1"/>
        <v>1.8275</v>
      </c>
      <c r="I23" s="12">
        <v>1.31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0" customHeight="1">
      <c r="A24" s="19" t="s">
        <v>47</v>
      </c>
      <c r="B24" s="20" t="s">
        <v>45</v>
      </c>
      <c r="C24" s="21">
        <v>2.62</v>
      </c>
      <c r="D24" s="21">
        <v>7.13</v>
      </c>
      <c r="E24" s="21">
        <v>5.67</v>
      </c>
      <c r="F24" s="29">
        <v>2.87</v>
      </c>
      <c r="G24" s="21">
        <v>5.75</v>
      </c>
      <c r="H24" s="22">
        <f t="shared" si="1"/>
        <v>4.5725</v>
      </c>
      <c r="I24" s="12">
        <v>3.32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0" customHeight="1">
      <c r="A25" s="19" t="s">
        <v>48</v>
      </c>
      <c r="B25" s="20" t="s">
        <v>49</v>
      </c>
      <c r="C25" s="21">
        <v>4.13</v>
      </c>
      <c r="D25" s="21">
        <v>7.13</v>
      </c>
      <c r="E25" s="21">
        <v>7.44</v>
      </c>
      <c r="F25" s="29">
        <v>4.62</v>
      </c>
      <c r="G25" s="21">
        <v>8.15</v>
      </c>
      <c r="H25" s="22">
        <f t="shared" si="1"/>
        <v>5.83</v>
      </c>
      <c r="I25" s="12">
        <v>4.17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7.0" customHeight="1">
      <c r="A26" s="19" t="s">
        <v>50</v>
      </c>
      <c r="B26" s="20" t="s">
        <v>49</v>
      </c>
      <c r="C26" s="21">
        <v>5.44</v>
      </c>
      <c r="D26" s="21">
        <v>10.19</v>
      </c>
      <c r="E26" s="21">
        <v>7.44</v>
      </c>
      <c r="F26" s="29">
        <v>6.68</v>
      </c>
      <c r="G26" s="21">
        <v>10.17</v>
      </c>
      <c r="H26" s="22">
        <f t="shared" si="1"/>
        <v>7.4375</v>
      </c>
      <c r="I26" s="12">
        <v>6.52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7.0" customHeight="1">
      <c r="A27" s="19" t="s">
        <v>51</v>
      </c>
      <c r="B27" s="20" t="s">
        <v>52</v>
      </c>
      <c r="C27" s="21">
        <v>2.11</v>
      </c>
      <c r="D27" s="21">
        <v>1.02</v>
      </c>
      <c r="E27" s="21">
        <v>1.66</v>
      </c>
      <c r="F27" s="29">
        <v>2.05</v>
      </c>
      <c r="G27" s="21">
        <v>2.99</v>
      </c>
      <c r="H27" s="22">
        <f t="shared" si="1"/>
        <v>1.71</v>
      </c>
      <c r="I27" s="12">
        <v>3.17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7.0" customHeight="1">
      <c r="A28" s="19" t="s">
        <v>53</v>
      </c>
      <c r="B28" s="20" t="s">
        <v>54</v>
      </c>
      <c r="C28" s="21">
        <v>3.32</v>
      </c>
      <c r="D28" s="21">
        <v>2.03</v>
      </c>
      <c r="E28" s="21">
        <v>2.83</v>
      </c>
      <c r="F28" s="29">
        <v>3.08</v>
      </c>
      <c r="G28" s="21">
        <v>3.99</v>
      </c>
      <c r="H28" s="22">
        <f t="shared" si="1"/>
        <v>2.815</v>
      </c>
      <c r="I28" s="12">
        <v>1.83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7.0" customHeight="1">
      <c r="A29" s="19" t="s">
        <v>55</v>
      </c>
      <c r="B29" s="20" t="s">
        <v>54</v>
      </c>
      <c r="C29" s="21">
        <v>0.45</v>
      </c>
      <c r="D29" s="21">
        <v>1.52</v>
      </c>
      <c r="E29" s="21">
        <v>1.46</v>
      </c>
      <c r="F29" s="29">
        <v>3.59</v>
      </c>
      <c r="G29" s="21">
        <v>1.49</v>
      </c>
      <c r="H29" s="22">
        <f t="shared" si="1"/>
        <v>1.755</v>
      </c>
      <c r="I29" s="12">
        <v>0.87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7.0" customHeight="1">
      <c r="A30" s="19" t="s">
        <v>56</v>
      </c>
      <c r="B30" s="20" t="s">
        <v>54</v>
      </c>
      <c r="C30" s="21">
        <v>1.21</v>
      </c>
      <c r="D30" s="21">
        <v>1.32</v>
      </c>
      <c r="E30" s="21">
        <v>1.46</v>
      </c>
      <c r="F30" s="29">
        <v>4.11</v>
      </c>
      <c r="G30" s="21">
        <v>1.99</v>
      </c>
      <c r="H30" s="22">
        <f t="shared" si="1"/>
        <v>2.025</v>
      </c>
      <c r="I30" s="12">
        <v>1.29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7.0" customHeight="1">
      <c r="A31" s="19" t="s">
        <v>57</v>
      </c>
      <c r="B31" s="20" t="s">
        <v>54</v>
      </c>
      <c r="C31" s="21">
        <v>1.3</v>
      </c>
      <c r="D31" s="21">
        <v>4.07</v>
      </c>
      <c r="E31" s="21">
        <v>4.01</v>
      </c>
      <c r="F31" s="29">
        <v>2.05</v>
      </c>
      <c r="G31" s="21">
        <v>12.77</v>
      </c>
      <c r="H31" s="22">
        <f t="shared" si="1"/>
        <v>2.8575</v>
      </c>
      <c r="I31" s="12">
        <v>1.2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7.0" customHeight="1">
      <c r="A32" s="19" t="s">
        <v>58</v>
      </c>
      <c r="B32" s="20" t="s">
        <v>54</v>
      </c>
      <c r="C32" s="21">
        <v>1.1</v>
      </c>
      <c r="D32" s="21">
        <v>3.05</v>
      </c>
      <c r="E32" s="21">
        <v>2.34</v>
      </c>
      <c r="F32" s="29">
        <v>2.05</v>
      </c>
      <c r="G32" s="21">
        <v>3.99</v>
      </c>
      <c r="H32" s="22">
        <f t="shared" si="1"/>
        <v>2.135</v>
      </c>
      <c r="I32" s="12">
        <v>1.95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7.0" customHeight="1">
      <c r="A33" s="19" t="s">
        <v>59</v>
      </c>
      <c r="B33" s="20" t="s">
        <v>49</v>
      </c>
      <c r="C33" s="21">
        <v>5.95</v>
      </c>
      <c r="D33" s="21">
        <v>4.07</v>
      </c>
      <c r="E33" s="21">
        <v>8.39</v>
      </c>
      <c r="F33" s="29">
        <v>8.23</v>
      </c>
      <c r="G33" s="21">
        <v>9.11</v>
      </c>
      <c r="H33" s="22">
        <f t="shared" si="1"/>
        <v>6.66</v>
      </c>
      <c r="I33" s="12">
        <v>2.02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7.0" customHeight="1">
      <c r="A34" s="19" t="s">
        <v>60</v>
      </c>
      <c r="B34" s="20" t="s">
        <v>20</v>
      </c>
      <c r="C34" s="21">
        <v>1.61</v>
      </c>
      <c r="D34" s="21">
        <v>2.34</v>
      </c>
      <c r="E34" s="21">
        <v>1.24</v>
      </c>
      <c r="F34" s="29">
        <v>2.87</v>
      </c>
      <c r="G34" s="21">
        <v>3.59</v>
      </c>
      <c r="H34" s="22">
        <f t="shared" si="1"/>
        <v>2.015</v>
      </c>
      <c r="I34" s="12">
        <v>1.58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2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7.0" customHeight="1">
      <c r="A36" s="2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7.0" customHeight="1">
      <c r="A37" s="2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7.0" customHeight="1">
      <c r="A38" s="2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7.0" customHeight="1">
      <c r="A39" s="2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7.0" customHeight="1">
      <c r="A40" s="2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7.0" customHeight="1">
      <c r="A41" s="2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7.0" customHeight="1">
      <c r="A42" s="2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2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7.0" customHeight="1">
      <c r="A44" s="2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7.0" customHeight="1">
      <c r="A45" s="23"/>
      <c r="B45" s="11"/>
      <c r="C45" s="11"/>
      <c r="D45" s="11"/>
      <c r="E45" s="11"/>
      <c r="F45" s="2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7.0" customHeight="1">
      <c r="A46" s="2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7.0" customHeight="1">
      <c r="A47" s="2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7.0" customHeight="1">
      <c r="A48" s="2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7.0" customHeight="1">
      <c r="A49" s="2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7.0" customHeight="1">
      <c r="A50" s="2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7.0" customHeight="1">
      <c r="A51" s="2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7.0" customHeight="1">
      <c r="A52" s="2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7.0" customHeight="1">
      <c r="A53" s="2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7.0" customHeight="1">
      <c r="A54" s="2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7.0" customHeight="1">
      <c r="A55" s="2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7.0" customHeight="1">
      <c r="A56" s="2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7.0" customHeight="1">
      <c r="A57" s="2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7.0" customHeight="1">
      <c r="A58" s="2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7.0" customHeight="1">
      <c r="A59" s="2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7.0" customHeight="1">
      <c r="A60" s="2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7.0" customHeight="1">
      <c r="A61" s="2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7.0" customHeight="1">
      <c r="A62" s="2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7.0" customHeight="1">
      <c r="A63" s="2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7.0" customHeight="1">
      <c r="A64" s="2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7.0" customHeight="1">
      <c r="A65" s="2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7.0" customHeight="1">
      <c r="A66" s="2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7.0" customHeight="1">
      <c r="A67" s="2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7.0" customHeight="1">
      <c r="A68" s="2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7.0" customHeight="1">
      <c r="A69" s="2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7.0" customHeight="1">
      <c r="A70" s="2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7.0" customHeight="1">
      <c r="A71" s="2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7.0" customHeight="1">
      <c r="A72" s="2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7.0" customHeight="1">
      <c r="A73" s="2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7.0" customHeight="1">
      <c r="A74" s="2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7.0" customHeight="1">
      <c r="A75" s="2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7.0" customHeight="1">
      <c r="A76" s="2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7.0" customHeight="1">
      <c r="A77" s="2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7.0" customHeight="1">
      <c r="A78" s="2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7.0" customHeight="1">
      <c r="A79" s="2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7.0" customHeight="1">
      <c r="A80" s="2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7.0" customHeight="1">
      <c r="A81" s="2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7.0" customHeight="1">
      <c r="A82" s="2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7.0" customHeight="1">
      <c r="A83" s="2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7.0" customHeight="1">
      <c r="A84" s="2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7.0" customHeight="1">
      <c r="A85" s="2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7.0" customHeight="1">
      <c r="A86" s="2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7.0" customHeight="1">
      <c r="A87" s="2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7.0" customHeight="1">
      <c r="A88" s="2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7.0" customHeight="1">
      <c r="A89" s="2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7.0" customHeight="1">
      <c r="A90" s="2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7.0" customHeight="1">
      <c r="A91" s="2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7.0" customHeight="1">
      <c r="A92" s="2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7.0" customHeight="1">
      <c r="A93" s="2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7.0" customHeight="1">
      <c r="A94" s="2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7.0" customHeight="1">
      <c r="A95" s="2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7.0" customHeight="1">
      <c r="A96" s="2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7.0" customHeight="1">
      <c r="A97" s="2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7.0" customHeight="1">
      <c r="A98" s="2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7.0" customHeight="1">
      <c r="A99" s="2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7.0" customHeight="1">
      <c r="A100" s="2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7.0" customHeight="1">
      <c r="A101" s="2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7.0" customHeight="1">
      <c r="A102" s="2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7.0" customHeight="1">
      <c r="A103" s="2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7.0" customHeight="1">
      <c r="A104" s="2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7.0" customHeight="1">
      <c r="A105" s="2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7.0" customHeight="1">
      <c r="A106" s="2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7.0" customHeight="1">
      <c r="A107" s="2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7.0" customHeight="1">
      <c r="A108" s="2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7.0" customHeight="1">
      <c r="A109" s="2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7.0" customHeight="1">
      <c r="A110" s="2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7.0" customHeight="1">
      <c r="A111" s="2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7.0" customHeight="1">
      <c r="A112" s="2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7.0" customHeight="1">
      <c r="A113" s="2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7.0" customHeight="1">
      <c r="A114" s="2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7.0" customHeight="1">
      <c r="A115" s="2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7.0" customHeight="1">
      <c r="A116" s="2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7.0" customHeight="1">
      <c r="A117" s="2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7.0" customHeight="1">
      <c r="A118" s="2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7.0" customHeight="1">
      <c r="A119" s="2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7.0" customHeight="1">
      <c r="A120" s="2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7.0" customHeight="1">
      <c r="A121" s="2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7.0" customHeight="1">
      <c r="A122" s="2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7.0" customHeight="1">
      <c r="A123" s="2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7.0" customHeight="1">
      <c r="A124" s="2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7.0" customHeight="1">
      <c r="A125" s="2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7.0" customHeight="1">
      <c r="A126" s="2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7.0" customHeight="1">
      <c r="A127" s="2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7.0" customHeight="1">
      <c r="A128" s="2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7.0" customHeight="1">
      <c r="A129" s="2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7.0" customHeight="1">
      <c r="A130" s="2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7.0" customHeight="1">
      <c r="A131" s="2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7.0" customHeight="1">
      <c r="A132" s="2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7.0" customHeight="1">
      <c r="A133" s="2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7.0" customHeight="1">
      <c r="A134" s="2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7.0" customHeight="1">
      <c r="A135" s="2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7.0" customHeight="1">
      <c r="A136" s="2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7.0" customHeight="1">
      <c r="A137" s="2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7.0" customHeight="1">
      <c r="A138" s="2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7.0" customHeight="1">
      <c r="A139" s="2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7.0" customHeight="1">
      <c r="A140" s="2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7.0" customHeight="1">
      <c r="A141" s="2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7.0" customHeight="1">
      <c r="A142" s="2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7.0" customHeight="1">
      <c r="A143" s="2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7.0" customHeight="1">
      <c r="A144" s="2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7.0" customHeight="1">
      <c r="A145" s="2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7.0" customHeight="1">
      <c r="A146" s="2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7.0" customHeight="1">
      <c r="A147" s="2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7.0" customHeight="1">
      <c r="A148" s="2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7.0" customHeight="1">
      <c r="A149" s="2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7.0" customHeight="1">
      <c r="A150" s="2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7.0" customHeight="1">
      <c r="A151" s="2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7.0" customHeight="1">
      <c r="A152" s="2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7.0" customHeight="1">
      <c r="A153" s="2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7.0" customHeight="1">
      <c r="A154" s="2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7.0" customHeight="1">
      <c r="A155" s="2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7.0" customHeight="1">
      <c r="A156" s="2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7.0" customHeight="1">
      <c r="A157" s="2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7.0" customHeight="1">
      <c r="A158" s="2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7.0" customHeight="1">
      <c r="A159" s="2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7.0" customHeight="1">
      <c r="A160" s="2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7.0" customHeight="1">
      <c r="A161" s="2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7.0" customHeight="1">
      <c r="A162" s="2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7.0" customHeight="1">
      <c r="A163" s="2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7.0" customHeight="1">
      <c r="A164" s="2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7.0" customHeight="1">
      <c r="A165" s="2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7.0" customHeight="1">
      <c r="A166" s="2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7.0" customHeight="1">
      <c r="A167" s="2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7.0" customHeight="1">
      <c r="A168" s="2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7.0" customHeight="1">
      <c r="A169" s="2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7.0" customHeight="1">
      <c r="A170" s="2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7.0" customHeight="1">
      <c r="A171" s="2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7.0" customHeight="1">
      <c r="A172" s="2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7.0" customHeight="1">
      <c r="A173" s="2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7.0" customHeight="1">
      <c r="A174" s="2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7.0" customHeight="1">
      <c r="A175" s="2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7.0" customHeight="1">
      <c r="A176" s="2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7.0" customHeight="1">
      <c r="A177" s="2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7.0" customHeight="1">
      <c r="A178" s="2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7.0" customHeight="1">
      <c r="A179" s="2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7.0" customHeight="1">
      <c r="A180" s="2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7.0" customHeight="1">
      <c r="A181" s="2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7.0" customHeight="1">
      <c r="A182" s="2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7.0" customHeight="1">
      <c r="A183" s="2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7.0" customHeight="1">
      <c r="A184" s="2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7.0" customHeight="1">
      <c r="A185" s="2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7.0" customHeight="1">
      <c r="A186" s="2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7.0" customHeight="1">
      <c r="A187" s="2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7.0" customHeight="1">
      <c r="A188" s="2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7.0" customHeight="1">
      <c r="A189" s="2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7.0" customHeight="1">
      <c r="A190" s="2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7.0" customHeight="1">
      <c r="A191" s="2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7.0" customHeight="1">
      <c r="A192" s="2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7.0" customHeight="1">
      <c r="A193" s="2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7.0" customHeight="1">
      <c r="A194" s="2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7.0" customHeight="1">
      <c r="A195" s="2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7.0" customHeight="1">
      <c r="A196" s="2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7.0" customHeight="1">
      <c r="A197" s="2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7.0" customHeight="1">
      <c r="A198" s="2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7.0" customHeight="1">
      <c r="A199" s="2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7.0" customHeight="1">
      <c r="A200" s="2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7.0" customHeight="1">
      <c r="A201" s="2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7.0" customHeight="1">
      <c r="A202" s="2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7.0" customHeight="1">
      <c r="A203" s="2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7.0" customHeight="1">
      <c r="A204" s="2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7.0" customHeight="1">
      <c r="A205" s="2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7.0" customHeight="1">
      <c r="A206" s="2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7.0" customHeight="1">
      <c r="A207" s="2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7.0" customHeight="1">
      <c r="A208" s="2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7.0" customHeight="1">
      <c r="A209" s="2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7.0" customHeight="1">
      <c r="A210" s="2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7.0" customHeight="1">
      <c r="A211" s="2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7.0" customHeight="1">
      <c r="A212" s="2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7.0" customHeight="1">
      <c r="A213" s="2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7.0" customHeight="1">
      <c r="A214" s="2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7.0" customHeight="1">
      <c r="A215" s="2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7.0" customHeight="1">
      <c r="A216" s="2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7.0" customHeight="1">
      <c r="A217" s="2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7.0" customHeight="1">
      <c r="A218" s="2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7.0" customHeight="1">
      <c r="A219" s="2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7.0" customHeight="1">
      <c r="A220" s="2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7.0" customHeight="1">
      <c r="A221" s="2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7.0" customHeight="1">
      <c r="A222" s="2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7.0" customHeight="1">
      <c r="A223" s="2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7.0" customHeight="1">
      <c r="A224" s="2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7.0" customHeight="1">
      <c r="A225" s="2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7.0" customHeight="1">
      <c r="A226" s="2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7.0" customHeight="1">
      <c r="A227" s="2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7.0" customHeight="1">
      <c r="A228" s="2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7.0" customHeight="1">
      <c r="A229" s="2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7.0" customHeight="1">
      <c r="A230" s="2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7.0" customHeight="1">
      <c r="A231" s="2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7.0" customHeight="1">
      <c r="A232" s="2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7.0" customHeight="1">
      <c r="A233" s="2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7.0" customHeight="1">
      <c r="A234" s="2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7.0" customHeight="1">
      <c r="A235" s="2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7.0" customHeight="1">
      <c r="A236" s="2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7.0" customHeight="1">
      <c r="A237" s="2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7.0" customHeight="1">
      <c r="A238" s="2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7.0" customHeight="1">
      <c r="A239" s="2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7.0" customHeight="1">
      <c r="A240" s="2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7.0" customHeight="1">
      <c r="A241" s="2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7.0" customHeight="1">
      <c r="A242" s="2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7.0" customHeight="1">
      <c r="A243" s="2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7.0" customHeight="1">
      <c r="A244" s="2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7.0" customHeight="1">
      <c r="A245" s="2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7.0" customHeight="1">
      <c r="A246" s="2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7.0" customHeight="1">
      <c r="A247" s="2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7.0" customHeight="1">
      <c r="A248" s="2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7.0" customHeight="1">
      <c r="A249" s="2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7.0" customHeight="1">
      <c r="A250" s="2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7.0" customHeight="1">
      <c r="A251" s="2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7.0" customHeight="1">
      <c r="A252" s="2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7.0" customHeight="1">
      <c r="A253" s="2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7.0" customHeight="1">
      <c r="A254" s="2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7.0" customHeight="1">
      <c r="A255" s="2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7.0" customHeight="1">
      <c r="A256" s="2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7.0" customHeight="1">
      <c r="A257" s="2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7.0" customHeight="1">
      <c r="A258" s="2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7.0" customHeight="1">
      <c r="A259" s="2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7.0" customHeight="1">
      <c r="A260" s="2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7.0" customHeight="1">
      <c r="A261" s="2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7.0" customHeight="1">
      <c r="A262" s="2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7.0" customHeight="1">
      <c r="A263" s="2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7.0" customHeight="1">
      <c r="A264" s="2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7.0" customHeight="1">
      <c r="A265" s="2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7.0" customHeight="1">
      <c r="A266" s="2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7.0" customHeight="1">
      <c r="A267" s="2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7.0" customHeight="1">
      <c r="A268" s="2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7.0" customHeight="1">
      <c r="A269" s="2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7.0" customHeight="1">
      <c r="A270" s="2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7.0" customHeight="1">
      <c r="A271" s="2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7.0" customHeight="1">
      <c r="A272" s="2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7.0" customHeight="1">
      <c r="A273" s="2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7.0" customHeight="1">
      <c r="A274" s="2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7.0" customHeight="1">
      <c r="A275" s="2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7.0" customHeight="1">
      <c r="A276" s="2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7.0" customHeight="1">
      <c r="A277" s="2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7.0" customHeight="1">
      <c r="A278" s="2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7.0" customHeight="1">
      <c r="A279" s="2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7.0" customHeight="1">
      <c r="A280" s="2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7.0" customHeight="1">
      <c r="A281" s="2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7.0" customHeight="1">
      <c r="A282" s="2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7.0" customHeight="1">
      <c r="A283" s="2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7.0" customHeight="1">
      <c r="A284" s="2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7.0" customHeight="1">
      <c r="A285" s="2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7.0" customHeight="1">
      <c r="A286" s="2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7.0" customHeight="1">
      <c r="A287" s="2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7.0" customHeight="1">
      <c r="A288" s="2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7.0" customHeight="1">
      <c r="A289" s="2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7.0" customHeight="1">
      <c r="A290" s="2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7.0" customHeight="1">
      <c r="A291" s="2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7.0" customHeight="1">
      <c r="A292" s="2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7.0" customHeight="1">
      <c r="A293" s="2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7.0" customHeight="1">
      <c r="A294" s="2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7.0" customHeight="1">
      <c r="A295" s="2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7.0" customHeight="1">
      <c r="A296" s="2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7.0" customHeight="1">
      <c r="A297" s="2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7.0" customHeight="1">
      <c r="A298" s="2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7.0" customHeight="1">
      <c r="A299" s="2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7.0" customHeight="1">
      <c r="A300" s="2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7.0" customHeight="1">
      <c r="A301" s="2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7.0" customHeight="1">
      <c r="A302" s="2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7.0" customHeight="1">
      <c r="A303" s="2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7.0" customHeight="1">
      <c r="A304" s="2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7.0" customHeight="1">
      <c r="A305" s="2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7.0" customHeight="1">
      <c r="A306" s="2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7.0" customHeight="1">
      <c r="A307" s="2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7.0" customHeight="1">
      <c r="A308" s="2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7.0" customHeight="1">
      <c r="A309" s="2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7.0" customHeight="1">
      <c r="A310" s="2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7.0" customHeight="1">
      <c r="A311" s="2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7.0" customHeight="1">
      <c r="A312" s="2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7.0" customHeight="1">
      <c r="A313" s="2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7.0" customHeight="1">
      <c r="A314" s="2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7.0" customHeight="1">
      <c r="A315" s="2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7.0" customHeight="1">
      <c r="A316" s="2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7.0" customHeight="1">
      <c r="A317" s="2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27.0" customHeight="1">
      <c r="A318" s="2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27.0" customHeight="1">
      <c r="A319" s="2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27.0" customHeight="1">
      <c r="A320" s="2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27.0" customHeight="1">
      <c r="A321" s="2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27.0" customHeight="1">
      <c r="A322" s="2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27.0" customHeight="1">
      <c r="A323" s="2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27.0" customHeight="1">
      <c r="A324" s="2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27.0" customHeight="1">
      <c r="A325" s="2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27.0" customHeight="1">
      <c r="A326" s="2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27.0" customHeight="1">
      <c r="A327" s="2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27.0" customHeight="1">
      <c r="A328" s="2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27.0" customHeight="1">
      <c r="A329" s="2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27.0" customHeight="1">
      <c r="A330" s="2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27.0" customHeight="1">
      <c r="A331" s="2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27.0" customHeight="1">
      <c r="A332" s="2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27.0" customHeight="1">
      <c r="A333" s="2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27.0" customHeight="1">
      <c r="A334" s="2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27.0" customHeight="1">
      <c r="A335" s="2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27.0" customHeight="1">
      <c r="A336" s="2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27.0" customHeight="1">
      <c r="A337" s="2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27.0" customHeight="1">
      <c r="A338" s="2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27.0" customHeight="1">
      <c r="A339" s="2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27.0" customHeight="1">
      <c r="A340" s="2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27.0" customHeight="1">
      <c r="A341" s="2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27.0" customHeight="1">
      <c r="A342" s="2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27.0" customHeight="1">
      <c r="A343" s="2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27.0" customHeight="1">
      <c r="A344" s="2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27.0" customHeight="1">
      <c r="A345" s="2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27.0" customHeight="1">
      <c r="A346" s="2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27.0" customHeight="1">
      <c r="A347" s="2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27.0" customHeight="1">
      <c r="A348" s="2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27.0" customHeight="1">
      <c r="A349" s="2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27.0" customHeight="1">
      <c r="A350" s="2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27.0" customHeight="1">
      <c r="A351" s="2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27.0" customHeight="1">
      <c r="A352" s="2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27.0" customHeight="1">
      <c r="A353" s="2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27.0" customHeight="1">
      <c r="A354" s="2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27.0" customHeight="1">
      <c r="A355" s="2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27.0" customHeight="1">
      <c r="A356" s="2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27.0" customHeight="1">
      <c r="A357" s="2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27.0" customHeight="1">
      <c r="A358" s="2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27.0" customHeight="1">
      <c r="A359" s="2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27.0" customHeight="1">
      <c r="A360" s="2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27.0" customHeight="1">
      <c r="A361" s="2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27.0" customHeight="1">
      <c r="A362" s="2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27.0" customHeight="1">
      <c r="A363" s="2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27.0" customHeight="1">
      <c r="A364" s="2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27.0" customHeight="1">
      <c r="A365" s="2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27.0" customHeight="1">
      <c r="A366" s="2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27.0" customHeight="1">
      <c r="A367" s="2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27.0" customHeight="1">
      <c r="A368" s="2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27.0" customHeight="1">
      <c r="A369" s="2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27.0" customHeight="1">
      <c r="A370" s="2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27.0" customHeight="1">
      <c r="A371" s="2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27.0" customHeight="1">
      <c r="A372" s="2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27.0" customHeight="1">
      <c r="A373" s="2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27.0" customHeight="1">
      <c r="A374" s="2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27.0" customHeight="1">
      <c r="A375" s="2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27.0" customHeight="1">
      <c r="A376" s="2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27.0" customHeight="1">
      <c r="A377" s="2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27.0" customHeight="1">
      <c r="A378" s="2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27.0" customHeight="1">
      <c r="A379" s="2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27.0" customHeight="1">
      <c r="A380" s="2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27.0" customHeight="1">
      <c r="A381" s="2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27.0" customHeight="1">
      <c r="A382" s="2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27.0" customHeight="1">
      <c r="A383" s="2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27.0" customHeight="1">
      <c r="A384" s="2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27.0" customHeight="1">
      <c r="A385" s="2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27.0" customHeight="1">
      <c r="A386" s="2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27.0" customHeight="1">
      <c r="A387" s="2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27.0" customHeight="1">
      <c r="A388" s="2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27.0" customHeight="1">
      <c r="A389" s="2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27.0" customHeight="1">
      <c r="A390" s="2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27.0" customHeight="1">
      <c r="A391" s="2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27.0" customHeight="1">
      <c r="A392" s="2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27.0" customHeight="1">
      <c r="A393" s="2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27.0" customHeight="1">
      <c r="A394" s="2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27.0" customHeight="1">
      <c r="A395" s="2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27.0" customHeight="1">
      <c r="A396" s="2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27.0" customHeight="1">
      <c r="A397" s="2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27.0" customHeight="1">
      <c r="A398" s="2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27.0" customHeight="1">
      <c r="A399" s="2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27.0" customHeight="1">
      <c r="A400" s="2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27.0" customHeight="1">
      <c r="A401" s="2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27.0" customHeight="1">
      <c r="A402" s="2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27.0" customHeight="1">
      <c r="A403" s="2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27.0" customHeight="1">
      <c r="A404" s="2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27.0" customHeight="1">
      <c r="A405" s="2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27.0" customHeight="1">
      <c r="A406" s="2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27.0" customHeight="1">
      <c r="A407" s="2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27.0" customHeight="1">
      <c r="A408" s="2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27.0" customHeight="1">
      <c r="A409" s="2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27.0" customHeight="1">
      <c r="A410" s="2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27.0" customHeight="1">
      <c r="A411" s="2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27.0" customHeight="1">
      <c r="A412" s="2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27.0" customHeight="1">
      <c r="A413" s="2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27.0" customHeight="1">
      <c r="A414" s="2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27.0" customHeight="1">
      <c r="A415" s="2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27.0" customHeight="1">
      <c r="A416" s="2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27.0" customHeight="1">
      <c r="A417" s="2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27.0" customHeight="1">
      <c r="A418" s="2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27.0" customHeight="1">
      <c r="A419" s="2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27.0" customHeight="1">
      <c r="A420" s="2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27.0" customHeight="1">
      <c r="A421" s="2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27.0" customHeight="1">
      <c r="A422" s="2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27.0" customHeight="1">
      <c r="A423" s="2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27.0" customHeight="1">
      <c r="A424" s="2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27.0" customHeight="1">
      <c r="A425" s="2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27.0" customHeight="1">
      <c r="A426" s="2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27.0" customHeight="1">
      <c r="A427" s="2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27.0" customHeight="1">
      <c r="A428" s="2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27.0" customHeight="1">
      <c r="A429" s="2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27.0" customHeight="1">
      <c r="A430" s="2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27.0" customHeight="1">
      <c r="A431" s="2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27.0" customHeight="1">
      <c r="A432" s="2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27.0" customHeight="1">
      <c r="A433" s="2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27.0" customHeight="1">
      <c r="A434" s="2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27.0" customHeight="1">
      <c r="A435" s="2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27.0" customHeight="1">
      <c r="A436" s="2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27.0" customHeight="1">
      <c r="A437" s="2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27.0" customHeight="1">
      <c r="A438" s="2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27.0" customHeight="1">
      <c r="A439" s="2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27.0" customHeight="1">
      <c r="A440" s="2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27.0" customHeight="1">
      <c r="A441" s="2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27.0" customHeight="1">
      <c r="A442" s="2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27.0" customHeight="1">
      <c r="A443" s="2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27.0" customHeight="1">
      <c r="A444" s="2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27.0" customHeight="1">
      <c r="A445" s="2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27.0" customHeight="1">
      <c r="A446" s="2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27.0" customHeight="1">
      <c r="A447" s="2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27.0" customHeight="1">
      <c r="A448" s="2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27.0" customHeight="1">
      <c r="A449" s="2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27.0" customHeight="1">
      <c r="A450" s="2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27.0" customHeight="1">
      <c r="A451" s="2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27.0" customHeight="1">
      <c r="A452" s="2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27.0" customHeight="1">
      <c r="A453" s="2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27.0" customHeight="1">
      <c r="A454" s="2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27.0" customHeight="1">
      <c r="A455" s="2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27.0" customHeight="1">
      <c r="A456" s="2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27.0" customHeight="1">
      <c r="A457" s="2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27.0" customHeight="1">
      <c r="A458" s="2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27.0" customHeight="1">
      <c r="A459" s="2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27.0" customHeight="1">
      <c r="A460" s="2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27.0" customHeight="1">
      <c r="A461" s="2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27.0" customHeight="1">
      <c r="A462" s="2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27.0" customHeight="1">
      <c r="A463" s="2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27.0" customHeight="1">
      <c r="A464" s="2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27.0" customHeight="1">
      <c r="A465" s="2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27.0" customHeight="1">
      <c r="A466" s="2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27.0" customHeight="1">
      <c r="A467" s="2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27.0" customHeight="1">
      <c r="A468" s="2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27.0" customHeight="1">
      <c r="A469" s="2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27.0" customHeight="1">
      <c r="A470" s="2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27.0" customHeight="1">
      <c r="A471" s="2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27.0" customHeight="1">
      <c r="A472" s="2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27.0" customHeight="1">
      <c r="A473" s="2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27.0" customHeight="1">
      <c r="A474" s="2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27.0" customHeight="1">
      <c r="A475" s="2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27.0" customHeight="1">
      <c r="A476" s="2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27.0" customHeight="1">
      <c r="A477" s="2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27.0" customHeight="1">
      <c r="A478" s="2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27.0" customHeight="1">
      <c r="A479" s="2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27.0" customHeight="1">
      <c r="A480" s="2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27.0" customHeight="1">
      <c r="A481" s="2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27.0" customHeight="1">
      <c r="A482" s="2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27.0" customHeight="1">
      <c r="A483" s="2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27.0" customHeight="1">
      <c r="A484" s="2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27.0" customHeight="1">
      <c r="A485" s="2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27.0" customHeight="1">
      <c r="A486" s="2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27.0" customHeight="1">
      <c r="A487" s="2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27.0" customHeight="1">
      <c r="A488" s="2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27.0" customHeight="1">
      <c r="A489" s="2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27.0" customHeight="1">
      <c r="A490" s="2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27.0" customHeight="1">
      <c r="A491" s="2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27.0" customHeight="1">
      <c r="A492" s="2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27.0" customHeight="1">
      <c r="A493" s="2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27.0" customHeight="1">
      <c r="A494" s="2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27.0" customHeight="1">
      <c r="A495" s="2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27.0" customHeight="1">
      <c r="A496" s="2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27.0" customHeight="1">
      <c r="A497" s="2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27.0" customHeight="1">
      <c r="A498" s="2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27.0" customHeight="1">
      <c r="A499" s="2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27.0" customHeight="1">
      <c r="A500" s="2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27.0" customHeight="1">
      <c r="A501" s="2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27.0" customHeight="1">
      <c r="A502" s="2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27.0" customHeight="1">
      <c r="A503" s="2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27.0" customHeight="1">
      <c r="A504" s="2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27.0" customHeight="1">
      <c r="A505" s="2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27.0" customHeight="1">
      <c r="A506" s="2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27.0" customHeight="1">
      <c r="A507" s="2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27.0" customHeight="1">
      <c r="A508" s="2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27.0" customHeight="1">
      <c r="A509" s="2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27.0" customHeight="1">
      <c r="A510" s="2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27.0" customHeight="1">
      <c r="A511" s="2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27.0" customHeight="1">
      <c r="A512" s="2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27.0" customHeight="1">
      <c r="A513" s="2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27.0" customHeight="1">
      <c r="A514" s="2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27.0" customHeight="1">
      <c r="A515" s="2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27.0" customHeight="1">
      <c r="A516" s="2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27.0" customHeight="1">
      <c r="A517" s="2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27.0" customHeight="1">
      <c r="A518" s="2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27.0" customHeight="1">
      <c r="A519" s="2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27.0" customHeight="1">
      <c r="A520" s="2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27.0" customHeight="1">
      <c r="A521" s="2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27.0" customHeight="1">
      <c r="A522" s="2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27.0" customHeight="1">
      <c r="A523" s="2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27.0" customHeight="1">
      <c r="A524" s="2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27.0" customHeight="1">
      <c r="A525" s="2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27.0" customHeight="1">
      <c r="A526" s="2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27.0" customHeight="1">
      <c r="A527" s="2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27.0" customHeight="1">
      <c r="A528" s="2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27.0" customHeight="1">
      <c r="A529" s="2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27.0" customHeight="1">
      <c r="A530" s="2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27.0" customHeight="1">
      <c r="A531" s="2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27.0" customHeight="1">
      <c r="A532" s="2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27.0" customHeight="1">
      <c r="A533" s="2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27.0" customHeight="1">
      <c r="A534" s="2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27.0" customHeight="1">
      <c r="A535" s="2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27.0" customHeight="1">
      <c r="A536" s="2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27.0" customHeight="1">
      <c r="A537" s="2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27.0" customHeight="1">
      <c r="A538" s="2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27.0" customHeight="1">
      <c r="A539" s="2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27.0" customHeight="1">
      <c r="A540" s="2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27.0" customHeight="1">
      <c r="A541" s="2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27.0" customHeight="1">
      <c r="A542" s="2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27.0" customHeight="1">
      <c r="A543" s="2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27.0" customHeight="1">
      <c r="A544" s="2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27.0" customHeight="1">
      <c r="A545" s="2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27.0" customHeight="1">
      <c r="A546" s="2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27.0" customHeight="1">
      <c r="A547" s="2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27.0" customHeight="1">
      <c r="A548" s="2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27.0" customHeight="1">
      <c r="A549" s="2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27.0" customHeight="1">
      <c r="A550" s="2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27.0" customHeight="1">
      <c r="A551" s="2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27.0" customHeight="1">
      <c r="A552" s="2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27.0" customHeight="1">
      <c r="A553" s="2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27.0" customHeight="1">
      <c r="A554" s="2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27.0" customHeight="1">
      <c r="A555" s="2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27.0" customHeight="1">
      <c r="A556" s="2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27.0" customHeight="1">
      <c r="A557" s="2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27.0" customHeight="1">
      <c r="A558" s="2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27.0" customHeight="1">
      <c r="A559" s="2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27.0" customHeight="1">
      <c r="A560" s="2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27.0" customHeight="1">
      <c r="A561" s="2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27.0" customHeight="1">
      <c r="A562" s="2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27.0" customHeight="1">
      <c r="A563" s="2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27.0" customHeight="1">
      <c r="A564" s="2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27.0" customHeight="1">
      <c r="A565" s="2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27.0" customHeight="1">
      <c r="A566" s="2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27.0" customHeight="1">
      <c r="A567" s="2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27.0" customHeight="1">
      <c r="A568" s="2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27.0" customHeight="1">
      <c r="A569" s="2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27.0" customHeight="1">
      <c r="A570" s="2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27.0" customHeight="1">
      <c r="A571" s="2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27.0" customHeight="1">
      <c r="A572" s="2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27.0" customHeight="1">
      <c r="A573" s="2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27.0" customHeight="1">
      <c r="A574" s="2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27.0" customHeight="1">
      <c r="A575" s="2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27.0" customHeight="1">
      <c r="A576" s="2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27.0" customHeight="1">
      <c r="A577" s="2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27.0" customHeight="1">
      <c r="A578" s="2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27.0" customHeight="1">
      <c r="A579" s="2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27.0" customHeight="1">
      <c r="A580" s="2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27.0" customHeight="1">
      <c r="A581" s="2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27.0" customHeight="1">
      <c r="A582" s="2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27.0" customHeight="1">
      <c r="A583" s="2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27.0" customHeight="1">
      <c r="A584" s="2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27.0" customHeight="1">
      <c r="A585" s="2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27.0" customHeight="1">
      <c r="A586" s="2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27.0" customHeight="1">
      <c r="A587" s="2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27.0" customHeight="1">
      <c r="A588" s="2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27.0" customHeight="1">
      <c r="A589" s="2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27.0" customHeight="1">
      <c r="A590" s="2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27.0" customHeight="1">
      <c r="A591" s="2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27.0" customHeight="1">
      <c r="A592" s="2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27.0" customHeight="1">
      <c r="A593" s="2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27.0" customHeight="1">
      <c r="A594" s="2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27.0" customHeight="1">
      <c r="A595" s="2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27.0" customHeight="1">
      <c r="A596" s="2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27.0" customHeight="1">
      <c r="A597" s="2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27.0" customHeight="1">
      <c r="A598" s="2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27.0" customHeight="1">
      <c r="A599" s="2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27.0" customHeight="1">
      <c r="A600" s="2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27.0" customHeight="1">
      <c r="A601" s="2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27.0" customHeight="1">
      <c r="A602" s="2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27.0" customHeight="1">
      <c r="A603" s="2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27.0" customHeight="1">
      <c r="A604" s="2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27.0" customHeight="1">
      <c r="A605" s="2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27.0" customHeight="1">
      <c r="A606" s="2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27.0" customHeight="1">
      <c r="A607" s="2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27.0" customHeight="1">
      <c r="A608" s="2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27.0" customHeight="1">
      <c r="A609" s="2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27.0" customHeight="1">
      <c r="A610" s="2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27.0" customHeight="1">
      <c r="A611" s="2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27.0" customHeight="1">
      <c r="A612" s="2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27.0" customHeight="1">
      <c r="A613" s="2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27.0" customHeight="1">
      <c r="A614" s="2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27.0" customHeight="1">
      <c r="A615" s="2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27.0" customHeight="1">
      <c r="A616" s="2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27.0" customHeight="1">
      <c r="A617" s="2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27.0" customHeight="1">
      <c r="A618" s="2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27.0" customHeight="1">
      <c r="A619" s="2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27.0" customHeight="1">
      <c r="A620" s="2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27.0" customHeight="1">
      <c r="A621" s="2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27.0" customHeight="1">
      <c r="A622" s="2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27.0" customHeight="1">
      <c r="A623" s="2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27.0" customHeight="1">
      <c r="A624" s="2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27.0" customHeight="1">
      <c r="A625" s="2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27.0" customHeight="1">
      <c r="A626" s="2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27.0" customHeight="1">
      <c r="A627" s="2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27.0" customHeight="1">
      <c r="A628" s="2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27.0" customHeight="1">
      <c r="A629" s="2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27.0" customHeight="1">
      <c r="A630" s="2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27.0" customHeight="1">
      <c r="A631" s="2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27.0" customHeight="1">
      <c r="A632" s="2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27.0" customHeight="1">
      <c r="A633" s="2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27.0" customHeight="1">
      <c r="A634" s="2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27.0" customHeight="1">
      <c r="A635" s="2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27.0" customHeight="1">
      <c r="A636" s="2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27.0" customHeight="1">
      <c r="A637" s="2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27.0" customHeight="1">
      <c r="A638" s="2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27.0" customHeight="1">
      <c r="A639" s="2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27.0" customHeight="1">
      <c r="A640" s="2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27.0" customHeight="1">
      <c r="A641" s="2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27.0" customHeight="1">
      <c r="A642" s="2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27.0" customHeight="1">
      <c r="A643" s="2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27.0" customHeight="1">
      <c r="A644" s="2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27.0" customHeight="1">
      <c r="A645" s="2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27.0" customHeight="1">
      <c r="A646" s="2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27.0" customHeight="1">
      <c r="A647" s="2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27.0" customHeight="1">
      <c r="A648" s="2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27.0" customHeight="1">
      <c r="A649" s="2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27.0" customHeight="1">
      <c r="A650" s="2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27.0" customHeight="1">
      <c r="A651" s="2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27.0" customHeight="1">
      <c r="A652" s="2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27.0" customHeight="1">
      <c r="A653" s="2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27.0" customHeight="1">
      <c r="A654" s="2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27.0" customHeight="1">
      <c r="A655" s="2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27.0" customHeight="1">
      <c r="A656" s="2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27.0" customHeight="1">
      <c r="A657" s="2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27.0" customHeight="1">
      <c r="A658" s="2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27.0" customHeight="1">
      <c r="A659" s="2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27.0" customHeight="1">
      <c r="A660" s="2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27.0" customHeight="1">
      <c r="A661" s="2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27.0" customHeight="1">
      <c r="A662" s="2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27.0" customHeight="1">
      <c r="A663" s="2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27.0" customHeight="1">
      <c r="A664" s="2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27.0" customHeight="1">
      <c r="A665" s="2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27.0" customHeight="1">
      <c r="A666" s="2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27.0" customHeight="1">
      <c r="A667" s="2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27.0" customHeight="1">
      <c r="A668" s="2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27.0" customHeight="1">
      <c r="A669" s="2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27.0" customHeight="1">
      <c r="A670" s="2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27.0" customHeight="1">
      <c r="A671" s="2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27.0" customHeight="1">
      <c r="A672" s="2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27.0" customHeight="1">
      <c r="A673" s="2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27.0" customHeight="1">
      <c r="A674" s="2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27.0" customHeight="1">
      <c r="A675" s="2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27.0" customHeight="1">
      <c r="A676" s="2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27.0" customHeight="1">
      <c r="A677" s="2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27.0" customHeight="1">
      <c r="A678" s="2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27.0" customHeight="1">
      <c r="A679" s="2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27.0" customHeight="1">
      <c r="A680" s="2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27.0" customHeight="1">
      <c r="A681" s="2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27.0" customHeight="1">
      <c r="A682" s="2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27.0" customHeight="1">
      <c r="A683" s="2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27.0" customHeight="1">
      <c r="A684" s="2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27.0" customHeight="1">
      <c r="A685" s="2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27.0" customHeight="1">
      <c r="A686" s="2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27.0" customHeight="1">
      <c r="A687" s="2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27.0" customHeight="1">
      <c r="A688" s="2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27.0" customHeight="1">
      <c r="A689" s="2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27.0" customHeight="1">
      <c r="A690" s="2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27.0" customHeight="1">
      <c r="A691" s="2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27.0" customHeight="1">
      <c r="A692" s="2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27.0" customHeight="1">
      <c r="A693" s="2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27.0" customHeight="1">
      <c r="A694" s="2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27.0" customHeight="1">
      <c r="A695" s="2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27.0" customHeight="1">
      <c r="A696" s="2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27.0" customHeight="1">
      <c r="A697" s="2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27.0" customHeight="1">
      <c r="A698" s="2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27.0" customHeight="1">
      <c r="A699" s="2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27.0" customHeight="1">
      <c r="A700" s="2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27.0" customHeight="1">
      <c r="A701" s="2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27.0" customHeight="1">
      <c r="A702" s="2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27.0" customHeight="1">
      <c r="A703" s="2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27.0" customHeight="1">
      <c r="A704" s="2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27.0" customHeight="1">
      <c r="A705" s="2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27.0" customHeight="1">
      <c r="A706" s="2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27.0" customHeight="1">
      <c r="A707" s="2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27.0" customHeight="1">
      <c r="A708" s="2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27.0" customHeight="1">
      <c r="A709" s="2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27.0" customHeight="1">
      <c r="A710" s="2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27.0" customHeight="1">
      <c r="A711" s="2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27.0" customHeight="1">
      <c r="A712" s="2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27.0" customHeight="1">
      <c r="A713" s="2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27.0" customHeight="1">
      <c r="A714" s="2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27.0" customHeight="1">
      <c r="A715" s="2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27.0" customHeight="1">
      <c r="A716" s="2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27.0" customHeight="1">
      <c r="A717" s="2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27.0" customHeight="1">
      <c r="A718" s="2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27.0" customHeight="1">
      <c r="A719" s="2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27.0" customHeight="1">
      <c r="A720" s="2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27.0" customHeight="1">
      <c r="A721" s="2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27.0" customHeight="1">
      <c r="A722" s="2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27.0" customHeight="1">
      <c r="A723" s="2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27.0" customHeight="1">
      <c r="A724" s="2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27.0" customHeight="1">
      <c r="A725" s="2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27.0" customHeight="1">
      <c r="A726" s="2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27.0" customHeight="1">
      <c r="A727" s="2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27.0" customHeight="1">
      <c r="A728" s="2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27.0" customHeight="1">
      <c r="A729" s="2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27.0" customHeight="1">
      <c r="A730" s="2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27.0" customHeight="1">
      <c r="A731" s="2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27.0" customHeight="1">
      <c r="A732" s="2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27.0" customHeight="1">
      <c r="A733" s="2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27.0" customHeight="1">
      <c r="A734" s="2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27.0" customHeight="1">
      <c r="A735" s="2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27.0" customHeight="1">
      <c r="A736" s="2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27.0" customHeight="1">
      <c r="A737" s="2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27.0" customHeight="1">
      <c r="A738" s="2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27.0" customHeight="1">
      <c r="A739" s="2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27.0" customHeight="1">
      <c r="A740" s="2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27.0" customHeight="1">
      <c r="A741" s="2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27.0" customHeight="1">
      <c r="A742" s="2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27.0" customHeight="1">
      <c r="A743" s="2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27.0" customHeight="1">
      <c r="A744" s="2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27.0" customHeight="1">
      <c r="A745" s="2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27.0" customHeight="1">
      <c r="A746" s="2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27.0" customHeight="1">
      <c r="A747" s="2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27.0" customHeight="1">
      <c r="A748" s="2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27.0" customHeight="1">
      <c r="A749" s="2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27.0" customHeight="1">
      <c r="A750" s="2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27.0" customHeight="1">
      <c r="A751" s="2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27.0" customHeight="1">
      <c r="A752" s="2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27.0" customHeight="1">
      <c r="A753" s="2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27.0" customHeight="1">
      <c r="A754" s="2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27.0" customHeight="1">
      <c r="A755" s="2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27.0" customHeight="1">
      <c r="A756" s="2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27.0" customHeight="1">
      <c r="A757" s="2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27.0" customHeight="1">
      <c r="A758" s="2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27.0" customHeight="1">
      <c r="A759" s="2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27.0" customHeight="1">
      <c r="A760" s="2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27.0" customHeight="1">
      <c r="A761" s="2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27.0" customHeight="1">
      <c r="A762" s="2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27.0" customHeight="1">
      <c r="A763" s="2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27.0" customHeight="1">
      <c r="A764" s="2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27.0" customHeight="1">
      <c r="A765" s="2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27.0" customHeight="1">
      <c r="A766" s="2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27.0" customHeight="1">
      <c r="A767" s="2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27.0" customHeight="1">
      <c r="A768" s="2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27.0" customHeight="1">
      <c r="A769" s="2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27.0" customHeight="1">
      <c r="A770" s="2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27.0" customHeight="1">
      <c r="A771" s="2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27.0" customHeight="1">
      <c r="A772" s="2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27.0" customHeight="1">
      <c r="A773" s="2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27.0" customHeight="1">
      <c r="A774" s="2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27.0" customHeight="1">
      <c r="A775" s="2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27.0" customHeight="1">
      <c r="A776" s="2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27.0" customHeight="1">
      <c r="A777" s="2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27.0" customHeight="1">
      <c r="A778" s="2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27.0" customHeight="1">
      <c r="A779" s="2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27.0" customHeight="1">
      <c r="A780" s="2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27.0" customHeight="1">
      <c r="A781" s="2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27.0" customHeight="1">
      <c r="A782" s="2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27.0" customHeight="1">
      <c r="A783" s="2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27.0" customHeight="1">
      <c r="A784" s="2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27.0" customHeight="1">
      <c r="A785" s="2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27.0" customHeight="1">
      <c r="A786" s="2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27.0" customHeight="1">
      <c r="A787" s="2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27.0" customHeight="1">
      <c r="A788" s="2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27.0" customHeight="1">
      <c r="A789" s="2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27.0" customHeight="1">
      <c r="A790" s="2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27.0" customHeight="1">
      <c r="A791" s="2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27.0" customHeight="1">
      <c r="A792" s="2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27.0" customHeight="1">
      <c r="A793" s="2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27.0" customHeight="1">
      <c r="A794" s="2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27.0" customHeight="1">
      <c r="A795" s="2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27.0" customHeight="1">
      <c r="A796" s="2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27.0" customHeight="1">
      <c r="A797" s="2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27.0" customHeight="1">
      <c r="A798" s="2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27.0" customHeight="1">
      <c r="A799" s="2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27.0" customHeight="1">
      <c r="A800" s="2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27.0" customHeight="1">
      <c r="A801" s="2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27.0" customHeight="1">
      <c r="A802" s="2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27.0" customHeight="1">
      <c r="A803" s="2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27.0" customHeight="1">
      <c r="A804" s="2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27.0" customHeight="1">
      <c r="A805" s="2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27.0" customHeight="1">
      <c r="A806" s="2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27.0" customHeight="1">
      <c r="A807" s="2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27.0" customHeight="1">
      <c r="A808" s="2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27.0" customHeight="1">
      <c r="A809" s="2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27.0" customHeight="1">
      <c r="A810" s="2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27.0" customHeight="1">
      <c r="A811" s="2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27.0" customHeight="1">
      <c r="A812" s="2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27.0" customHeight="1">
      <c r="A813" s="2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27.0" customHeight="1">
      <c r="A814" s="2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27.0" customHeight="1">
      <c r="A815" s="2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27.0" customHeight="1">
      <c r="A816" s="2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27.0" customHeight="1">
      <c r="A817" s="2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27.0" customHeight="1">
      <c r="A818" s="2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27.0" customHeight="1">
      <c r="A819" s="2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27.0" customHeight="1">
      <c r="A820" s="2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27.0" customHeight="1">
      <c r="A821" s="2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27.0" customHeight="1">
      <c r="A822" s="2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27.0" customHeight="1">
      <c r="A823" s="2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27.0" customHeight="1">
      <c r="A824" s="2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27.0" customHeight="1">
      <c r="A825" s="2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27.0" customHeight="1">
      <c r="A826" s="2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27.0" customHeight="1">
      <c r="A827" s="2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27.0" customHeight="1">
      <c r="A828" s="2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27.0" customHeight="1">
      <c r="A829" s="2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27.0" customHeight="1">
      <c r="A830" s="2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27.0" customHeight="1">
      <c r="A831" s="2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27.0" customHeight="1">
      <c r="A832" s="2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27.0" customHeight="1">
      <c r="A833" s="2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27.0" customHeight="1">
      <c r="A834" s="2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27.0" customHeight="1">
      <c r="A835" s="2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27.0" customHeight="1">
      <c r="A836" s="2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27.0" customHeight="1">
      <c r="A837" s="2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27.0" customHeight="1">
      <c r="A838" s="2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27.0" customHeight="1">
      <c r="A839" s="2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27.0" customHeight="1">
      <c r="A840" s="2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27.0" customHeight="1">
      <c r="A841" s="2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27.0" customHeight="1">
      <c r="A842" s="2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27.0" customHeight="1">
      <c r="A843" s="2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27.0" customHeight="1">
      <c r="A844" s="2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27.0" customHeight="1">
      <c r="A845" s="2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27.0" customHeight="1">
      <c r="A846" s="2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27.0" customHeight="1">
      <c r="A847" s="2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27.0" customHeight="1">
      <c r="A848" s="2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27.0" customHeight="1">
      <c r="A849" s="2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27.0" customHeight="1">
      <c r="A850" s="2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27.0" customHeight="1">
      <c r="A851" s="2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27.0" customHeight="1">
      <c r="A852" s="2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27.0" customHeight="1">
      <c r="A853" s="2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27.0" customHeight="1">
      <c r="A854" s="2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27.0" customHeight="1">
      <c r="A855" s="2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27.0" customHeight="1">
      <c r="A856" s="2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27.0" customHeight="1">
      <c r="A857" s="2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27.0" customHeight="1">
      <c r="A858" s="2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27.0" customHeight="1">
      <c r="A859" s="2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27.0" customHeight="1">
      <c r="A860" s="2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27.0" customHeight="1">
      <c r="A861" s="2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27.0" customHeight="1">
      <c r="A862" s="2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27.0" customHeight="1">
      <c r="A863" s="2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27.0" customHeight="1">
      <c r="A864" s="2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27.0" customHeight="1">
      <c r="A865" s="2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27.0" customHeight="1">
      <c r="A866" s="2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27.0" customHeight="1">
      <c r="A867" s="2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27.0" customHeight="1">
      <c r="A868" s="2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27.0" customHeight="1">
      <c r="A869" s="2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27.0" customHeight="1">
      <c r="A870" s="2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27.0" customHeight="1">
      <c r="A871" s="2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27.0" customHeight="1">
      <c r="A872" s="2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27.0" customHeight="1">
      <c r="A873" s="2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27.0" customHeight="1">
      <c r="A874" s="2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27.0" customHeight="1">
      <c r="A875" s="2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27.0" customHeight="1">
      <c r="A876" s="2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27.0" customHeight="1">
      <c r="A877" s="2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27.0" customHeight="1">
      <c r="A878" s="2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27.0" customHeight="1">
      <c r="A879" s="2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27.0" customHeight="1">
      <c r="A880" s="2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27.0" customHeight="1">
      <c r="A881" s="2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27.0" customHeight="1">
      <c r="A882" s="2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27.0" customHeight="1">
      <c r="A883" s="2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27.0" customHeight="1">
      <c r="A884" s="2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27.0" customHeight="1">
      <c r="A885" s="2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27.0" customHeight="1">
      <c r="A886" s="2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27.0" customHeight="1">
      <c r="A887" s="2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27.0" customHeight="1">
      <c r="A888" s="2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27.0" customHeight="1">
      <c r="A889" s="2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27.0" customHeight="1">
      <c r="A890" s="2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27.0" customHeight="1">
      <c r="A891" s="2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27.0" customHeight="1">
      <c r="A892" s="2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27.0" customHeight="1">
      <c r="A893" s="2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27.0" customHeight="1">
      <c r="A894" s="2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27.0" customHeight="1">
      <c r="A895" s="2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27.0" customHeight="1">
      <c r="A896" s="2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27.0" customHeight="1">
      <c r="A897" s="2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27.0" customHeight="1">
      <c r="A898" s="2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27.0" customHeight="1">
      <c r="A899" s="2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27.0" customHeight="1">
      <c r="A900" s="2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27.0" customHeight="1">
      <c r="A901" s="2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27.0" customHeight="1">
      <c r="A902" s="2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27.0" customHeight="1">
      <c r="A903" s="2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27.0" customHeight="1">
      <c r="A904" s="2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27.0" customHeight="1">
      <c r="A905" s="2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27.0" customHeight="1">
      <c r="A906" s="2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27.0" customHeight="1">
      <c r="A907" s="2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27.0" customHeight="1">
      <c r="A908" s="2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27.0" customHeight="1">
      <c r="A909" s="2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27.0" customHeight="1">
      <c r="A910" s="2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27.0" customHeight="1">
      <c r="A911" s="2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27.0" customHeight="1">
      <c r="A912" s="2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27.0" customHeight="1">
      <c r="A913" s="2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27.0" customHeight="1">
      <c r="A914" s="2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27.0" customHeight="1">
      <c r="A915" s="2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27.0" customHeight="1">
      <c r="A916" s="2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27.0" customHeight="1">
      <c r="A917" s="2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27.0" customHeight="1">
      <c r="A918" s="2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27.0" customHeight="1">
      <c r="A919" s="2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27.0" customHeight="1">
      <c r="A920" s="2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27.0" customHeight="1">
      <c r="A921" s="2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27.0" customHeight="1">
      <c r="A922" s="2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27.0" customHeight="1">
      <c r="A923" s="2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27.0" customHeight="1">
      <c r="A924" s="2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27.0" customHeight="1">
      <c r="A925" s="2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27.0" customHeight="1">
      <c r="A926" s="2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27.0" customHeight="1">
      <c r="A927" s="2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27.0" customHeight="1">
      <c r="A928" s="2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27.0" customHeight="1">
      <c r="A929" s="2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27.0" customHeight="1">
      <c r="A930" s="2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27.0" customHeight="1">
      <c r="A931" s="2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27.0" customHeight="1">
      <c r="A932" s="2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27.0" customHeight="1">
      <c r="A933" s="2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27.0" customHeight="1">
      <c r="A934" s="23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27.0" customHeight="1">
      <c r="A935" s="23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27.0" customHeight="1">
      <c r="A936" s="23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27.0" customHeight="1">
      <c r="A937" s="23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27.0" customHeight="1">
      <c r="A938" s="23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27.0" customHeight="1">
      <c r="A939" s="23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27.0" customHeight="1">
      <c r="A940" s="23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27.0" customHeight="1">
      <c r="A941" s="23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27.0" customHeight="1">
      <c r="A942" s="23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27.0" customHeight="1">
      <c r="A943" s="23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27.0" customHeight="1">
      <c r="A944" s="23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27.0" customHeight="1">
      <c r="A945" s="23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27.0" customHeight="1">
      <c r="A946" s="23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27.0" customHeight="1">
      <c r="A947" s="23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27.0" customHeight="1">
      <c r="A948" s="23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27.0" customHeight="1">
      <c r="A949" s="23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27.0" customHeight="1">
      <c r="A950" s="23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27.0" customHeight="1">
      <c r="A951" s="23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27.0" customHeight="1">
      <c r="A952" s="23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27.0" customHeight="1">
      <c r="A953" s="23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27.0" customHeight="1">
      <c r="A954" s="23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27.0" customHeight="1">
      <c r="A955" s="23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27.0" customHeight="1">
      <c r="A956" s="23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27.0" customHeight="1">
      <c r="A957" s="23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27.0" customHeight="1">
      <c r="A958" s="23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27.0" customHeight="1">
      <c r="A959" s="23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27.0" customHeight="1">
      <c r="A960" s="23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27.0" customHeight="1">
      <c r="A961" s="23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27.0" customHeight="1">
      <c r="A962" s="23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27.0" customHeight="1">
      <c r="A963" s="23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27.0" customHeight="1">
      <c r="A964" s="23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27.0" customHeight="1">
      <c r="A965" s="23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27.0" customHeight="1">
      <c r="A966" s="23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27.0" customHeight="1">
      <c r="A967" s="23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27.0" customHeight="1">
      <c r="A968" s="23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27.0" customHeight="1">
      <c r="A969" s="23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27.0" customHeight="1">
      <c r="A970" s="23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27.0" customHeight="1">
      <c r="A971" s="23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27.0" customHeight="1">
      <c r="A972" s="23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27.0" customHeight="1">
      <c r="A973" s="23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27.0" customHeight="1">
      <c r="A974" s="23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27.0" customHeight="1">
      <c r="A975" s="23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27.0" customHeight="1">
      <c r="A976" s="23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27.0" customHeight="1">
      <c r="A977" s="23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27.0" customHeight="1">
      <c r="A978" s="23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27.0" customHeight="1">
      <c r="A979" s="23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27.0" customHeight="1">
      <c r="A980" s="23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27.0" customHeight="1">
      <c r="A981" s="23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27.0" customHeight="1">
      <c r="A982" s="23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27.0" customHeight="1">
      <c r="A983" s="23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27.0" customHeight="1">
      <c r="A984" s="23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27.0" customHeight="1">
      <c r="A985" s="23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27.0" customHeight="1">
      <c r="A986" s="23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27.0" customHeight="1">
      <c r="A987" s="23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27.0" customHeight="1">
      <c r="A988" s="23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27.0" customHeight="1">
      <c r="A989" s="23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27.0" customHeight="1">
      <c r="A990" s="23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27.0" customHeight="1">
      <c r="A991" s="23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27.0" customHeight="1">
      <c r="A992" s="23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27.0" customHeight="1">
      <c r="A993" s="23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27.0" customHeight="1">
      <c r="A994" s="23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27.0" customHeight="1">
      <c r="A995" s="23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27.0" customHeight="1">
      <c r="A996" s="23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27.0" customHeight="1">
      <c r="A997" s="23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27.0" customHeight="1">
      <c r="A998" s="23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27.0" customHeight="1">
      <c r="A999" s="23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3.0"/>
    <col customWidth="1" min="3" max="16" width="16.38"/>
  </cols>
  <sheetData>
    <row r="1" ht="21.0" customHeight="1">
      <c r="A1" s="30" t="s">
        <v>0</v>
      </c>
      <c r="B1" s="30" t="s">
        <v>1</v>
      </c>
      <c r="C1" s="30" t="s">
        <v>69</v>
      </c>
      <c r="D1" s="30" t="s">
        <v>70</v>
      </c>
      <c r="E1" s="30" t="s">
        <v>71</v>
      </c>
      <c r="F1" s="30" t="s">
        <v>72</v>
      </c>
      <c r="G1" s="30" t="s">
        <v>73</v>
      </c>
      <c r="H1" s="30" t="s">
        <v>74</v>
      </c>
      <c r="I1" s="30" t="s">
        <v>75</v>
      </c>
      <c r="J1" s="30" t="s">
        <v>76</v>
      </c>
      <c r="K1" s="30" t="s">
        <v>77</v>
      </c>
      <c r="L1" s="30" t="s">
        <v>78</v>
      </c>
      <c r="M1" s="30" t="s">
        <v>79</v>
      </c>
      <c r="N1" s="30" t="s">
        <v>80</v>
      </c>
      <c r="O1" s="30" t="s">
        <v>81</v>
      </c>
      <c r="P1" s="30" t="s">
        <v>82</v>
      </c>
      <c r="Q1" s="31"/>
      <c r="R1" s="31"/>
      <c r="S1" s="31"/>
      <c r="T1" s="31"/>
      <c r="U1" s="31"/>
      <c r="V1" s="31"/>
    </row>
    <row r="2" ht="21.0" customHeight="1">
      <c r="A2" s="19" t="s">
        <v>16</v>
      </c>
      <c r="B2" s="32" t="s">
        <v>17</v>
      </c>
      <c r="C2" s="29">
        <v>2.79</v>
      </c>
      <c r="D2" s="29">
        <v>3.23</v>
      </c>
      <c r="E2" s="29">
        <v>3.55</v>
      </c>
      <c r="F2" s="29">
        <v>3.53</v>
      </c>
      <c r="G2" s="29">
        <v>4.69</v>
      </c>
      <c r="H2" s="29">
        <v>4.61</v>
      </c>
      <c r="I2" s="29">
        <v>4.74</v>
      </c>
      <c r="J2" s="29">
        <v>4.57</v>
      </c>
      <c r="K2" s="29">
        <v>4.57</v>
      </c>
      <c r="L2" s="29">
        <v>4.75</v>
      </c>
      <c r="M2" s="29">
        <v>4.59</v>
      </c>
      <c r="N2" s="29">
        <v>4.46</v>
      </c>
      <c r="O2" s="29">
        <v>4.85</v>
      </c>
      <c r="P2" s="29">
        <v>4.59</v>
      </c>
      <c r="Q2" s="33"/>
      <c r="R2" s="33"/>
      <c r="S2" s="33"/>
      <c r="T2" s="33"/>
      <c r="U2" s="33"/>
      <c r="V2" s="33"/>
    </row>
    <row r="3" ht="21.0" customHeight="1">
      <c r="A3" s="19" t="s">
        <v>19</v>
      </c>
      <c r="B3" s="32" t="s">
        <v>20</v>
      </c>
      <c r="C3" s="29">
        <v>2.57</v>
      </c>
      <c r="D3" s="29">
        <v>3.02</v>
      </c>
      <c r="E3" s="29">
        <v>3.07</v>
      </c>
      <c r="F3" s="29">
        <v>3.09</v>
      </c>
      <c r="G3" s="29">
        <v>2.95</v>
      </c>
      <c r="H3" s="29">
        <v>3.15</v>
      </c>
      <c r="I3" s="29">
        <v>3.79</v>
      </c>
      <c r="J3" s="29">
        <v>3.46</v>
      </c>
      <c r="K3" s="29">
        <v>3.33</v>
      </c>
      <c r="L3" s="29">
        <v>3.48</v>
      </c>
      <c r="M3" s="29">
        <v>3.63</v>
      </c>
      <c r="N3" s="29">
        <v>3.41</v>
      </c>
      <c r="O3" s="29">
        <v>3.44</v>
      </c>
      <c r="P3" s="29">
        <v>3.42</v>
      </c>
      <c r="Q3" s="33"/>
      <c r="R3" s="33"/>
      <c r="S3" s="33"/>
      <c r="T3" s="33"/>
      <c r="U3" s="33"/>
      <c r="V3" s="33"/>
    </row>
    <row r="4" ht="21.0" customHeight="1">
      <c r="A4" s="19" t="s">
        <v>21</v>
      </c>
      <c r="B4" s="32" t="s">
        <v>20</v>
      </c>
      <c r="C4" s="29">
        <v>1.07</v>
      </c>
      <c r="D4" s="29">
        <v>1.91</v>
      </c>
      <c r="E4" s="29">
        <v>1.66</v>
      </c>
      <c r="F4" s="29">
        <v>1.64</v>
      </c>
      <c r="G4" s="29">
        <v>2.18</v>
      </c>
      <c r="H4" s="29">
        <v>2.45</v>
      </c>
      <c r="I4" s="29">
        <v>2.4</v>
      </c>
      <c r="J4" s="29">
        <v>2.3</v>
      </c>
      <c r="K4" s="29">
        <v>2.3</v>
      </c>
      <c r="L4" s="29">
        <v>2.21</v>
      </c>
      <c r="M4" s="29">
        <v>2.31</v>
      </c>
      <c r="N4" s="29">
        <v>2.34</v>
      </c>
      <c r="O4" s="29">
        <v>2.41</v>
      </c>
      <c r="P4" s="29">
        <v>2.42</v>
      </c>
      <c r="Q4" s="33"/>
      <c r="R4" s="33"/>
      <c r="S4" s="33"/>
      <c r="T4" s="33"/>
      <c r="U4" s="33"/>
      <c r="V4" s="33"/>
    </row>
    <row r="5" ht="21.0" customHeight="1">
      <c r="A5" s="19" t="s">
        <v>22</v>
      </c>
      <c r="B5" s="32" t="s">
        <v>20</v>
      </c>
      <c r="C5" s="29">
        <v>4.09</v>
      </c>
      <c r="D5" s="29">
        <v>4.39</v>
      </c>
      <c r="E5" s="29">
        <v>4.59</v>
      </c>
      <c r="F5" s="29">
        <v>4.57</v>
      </c>
      <c r="G5" s="29">
        <v>5.01</v>
      </c>
      <c r="H5" s="29">
        <v>5.15</v>
      </c>
      <c r="I5" s="29">
        <v>4.47</v>
      </c>
      <c r="J5" s="29">
        <v>4.48</v>
      </c>
      <c r="K5" s="29">
        <v>4.44</v>
      </c>
      <c r="L5" s="29">
        <v>4.5</v>
      </c>
      <c r="M5" s="29">
        <v>4.67</v>
      </c>
      <c r="N5" s="29">
        <v>4.15</v>
      </c>
      <c r="O5" s="29">
        <v>4.47</v>
      </c>
      <c r="P5" s="29">
        <v>4.44</v>
      </c>
      <c r="Q5" s="33"/>
      <c r="R5" s="33"/>
      <c r="S5" s="33"/>
      <c r="T5" s="33"/>
      <c r="U5" s="33"/>
      <c r="V5" s="33"/>
    </row>
    <row r="6" ht="21.0" customHeight="1">
      <c r="A6" s="19" t="s">
        <v>23</v>
      </c>
      <c r="B6" s="32" t="s">
        <v>24</v>
      </c>
      <c r="C6" s="29">
        <v>6.42</v>
      </c>
      <c r="D6" s="29">
        <v>8.31</v>
      </c>
      <c r="E6" s="29">
        <v>8.51</v>
      </c>
      <c r="F6" s="29">
        <v>8.41</v>
      </c>
      <c r="G6" s="29">
        <v>7.23</v>
      </c>
      <c r="H6" s="29">
        <v>9.15</v>
      </c>
      <c r="I6" s="29">
        <v>7.3</v>
      </c>
      <c r="J6" s="29">
        <v>9.32</v>
      </c>
      <c r="K6" s="29">
        <v>7.57</v>
      </c>
      <c r="L6" s="29">
        <v>7.6</v>
      </c>
      <c r="M6" s="29">
        <v>7.59</v>
      </c>
      <c r="N6" s="29">
        <v>6.8</v>
      </c>
      <c r="O6" s="29">
        <v>11.28</v>
      </c>
      <c r="P6" s="29">
        <v>10.71</v>
      </c>
      <c r="Q6" s="33"/>
      <c r="R6" s="33"/>
      <c r="S6" s="33"/>
      <c r="T6" s="33"/>
      <c r="U6" s="33"/>
      <c r="V6" s="33"/>
    </row>
    <row r="7" ht="21.0" customHeight="1">
      <c r="A7" s="19" t="s">
        <v>25</v>
      </c>
      <c r="B7" s="32" t="s">
        <v>24</v>
      </c>
      <c r="C7" s="29">
        <v>2.67</v>
      </c>
      <c r="D7" s="29">
        <v>1.61</v>
      </c>
      <c r="E7" s="29">
        <v>2.87</v>
      </c>
      <c r="F7" s="29">
        <v>2.83</v>
      </c>
      <c r="G7" s="29">
        <v>1.79</v>
      </c>
      <c r="H7" s="29">
        <v>1.86</v>
      </c>
      <c r="I7" s="29">
        <v>1.74</v>
      </c>
      <c r="J7" s="29">
        <v>1.56</v>
      </c>
      <c r="K7" s="29">
        <v>1.62</v>
      </c>
      <c r="L7" s="29">
        <v>1.66</v>
      </c>
      <c r="M7" s="29">
        <v>1.62</v>
      </c>
      <c r="N7" s="29">
        <v>1.65</v>
      </c>
      <c r="O7" s="29">
        <v>1.5</v>
      </c>
      <c r="P7" s="29">
        <v>1.51</v>
      </c>
      <c r="Q7" s="33"/>
      <c r="R7" s="33"/>
      <c r="S7" s="33"/>
      <c r="T7" s="33"/>
      <c r="U7" s="33"/>
      <c r="V7" s="33"/>
    </row>
    <row r="8" ht="21.0" customHeight="1">
      <c r="A8" s="19" t="s">
        <v>26</v>
      </c>
      <c r="B8" s="32" t="s">
        <v>24</v>
      </c>
      <c r="C8" s="29">
        <v>4.59</v>
      </c>
      <c r="D8" s="29">
        <v>4.47</v>
      </c>
      <c r="E8" s="29">
        <v>4.77</v>
      </c>
      <c r="F8" s="29">
        <v>4.77</v>
      </c>
      <c r="G8" s="29">
        <v>4.39</v>
      </c>
      <c r="H8" s="29">
        <v>4.34</v>
      </c>
      <c r="I8" s="29">
        <v>4.06</v>
      </c>
      <c r="J8" s="29">
        <v>4.59</v>
      </c>
      <c r="K8" s="29">
        <v>4.78</v>
      </c>
      <c r="L8" s="29">
        <v>4.63</v>
      </c>
      <c r="M8" s="29">
        <v>4.83</v>
      </c>
      <c r="N8" s="29">
        <v>4.73</v>
      </c>
      <c r="O8" s="29">
        <v>4.93</v>
      </c>
      <c r="P8" s="29">
        <v>4.9</v>
      </c>
      <c r="Q8" s="33"/>
      <c r="R8" s="33"/>
      <c r="S8" s="33"/>
      <c r="T8" s="33"/>
      <c r="U8" s="33"/>
      <c r="V8" s="33"/>
    </row>
    <row r="9" ht="21.0" customHeight="1">
      <c r="A9" s="19" t="s">
        <v>27</v>
      </c>
      <c r="B9" s="32" t="s">
        <v>28</v>
      </c>
      <c r="C9" s="29">
        <v>2.99</v>
      </c>
      <c r="D9" s="29">
        <v>2.15</v>
      </c>
      <c r="E9" s="29">
        <v>3.11</v>
      </c>
      <c r="F9" s="29">
        <v>3.09</v>
      </c>
      <c r="G9" s="29">
        <v>2.43</v>
      </c>
      <c r="H9" s="29">
        <v>2.25</v>
      </c>
      <c r="I9" s="29">
        <v>2.58</v>
      </c>
      <c r="J9" s="29">
        <v>2.49</v>
      </c>
      <c r="K9" s="29">
        <v>2.7</v>
      </c>
      <c r="L9" s="29">
        <v>2.42</v>
      </c>
      <c r="M9" s="29">
        <v>2.72</v>
      </c>
      <c r="N9" s="29">
        <v>2.69</v>
      </c>
      <c r="O9" s="29">
        <v>2.84</v>
      </c>
      <c r="P9" s="29">
        <v>2.85</v>
      </c>
      <c r="Q9" s="33"/>
      <c r="R9" s="33"/>
      <c r="S9" s="33"/>
      <c r="T9" s="33"/>
      <c r="U9" s="33"/>
      <c r="V9" s="33"/>
    </row>
    <row r="10" ht="21.0" customHeight="1">
      <c r="A10" s="19" t="s">
        <v>29</v>
      </c>
      <c r="B10" s="32" t="s">
        <v>28</v>
      </c>
      <c r="C10" s="29">
        <v>2.97</v>
      </c>
      <c r="D10" s="29">
        <v>4.03</v>
      </c>
      <c r="E10" s="29">
        <v>3.11</v>
      </c>
      <c r="F10" s="29">
        <v>3.07</v>
      </c>
      <c r="G10" s="29">
        <v>4.04</v>
      </c>
      <c r="H10" s="29">
        <v>3.75</v>
      </c>
      <c r="I10" s="29">
        <v>3.75</v>
      </c>
      <c r="J10" s="29">
        <v>3.82</v>
      </c>
      <c r="K10" s="29">
        <v>3.34</v>
      </c>
      <c r="L10" s="29">
        <v>3.6</v>
      </c>
      <c r="M10" s="29">
        <v>3.83</v>
      </c>
      <c r="N10" s="29">
        <v>3.77</v>
      </c>
      <c r="O10" s="29">
        <v>3.46</v>
      </c>
      <c r="P10" s="29">
        <v>3.49</v>
      </c>
      <c r="Q10" s="33"/>
      <c r="R10" s="33"/>
      <c r="S10" s="33"/>
      <c r="T10" s="33"/>
      <c r="U10" s="33"/>
      <c r="V10" s="33"/>
    </row>
    <row r="11" ht="21.0" customHeight="1">
      <c r="A11" s="19" t="s">
        <v>30</v>
      </c>
      <c r="B11" s="32" t="s">
        <v>28</v>
      </c>
      <c r="C11" s="29">
        <v>11.29</v>
      </c>
      <c r="D11" s="29">
        <v>5.48</v>
      </c>
      <c r="E11" s="29">
        <v>8.31</v>
      </c>
      <c r="F11" s="29">
        <v>8.29</v>
      </c>
      <c r="G11" s="29">
        <v>6.12</v>
      </c>
      <c r="H11" s="29">
        <v>6.33</v>
      </c>
      <c r="I11" s="29">
        <v>6.07</v>
      </c>
      <c r="J11" s="29">
        <v>5.29</v>
      </c>
      <c r="K11" s="29">
        <v>4.94</v>
      </c>
      <c r="L11" s="29">
        <v>5.64</v>
      </c>
      <c r="M11" s="29">
        <v>5.72</v>
      </c>
      <c r="N11" s="29">
        <v>6.33</v>
      </c>
      <c r="O11" s="29">
        <v>5.84</v>
      </c>
      <c r="P11" s="29">
        <v>5.83</v>
      </c>
      <c r="Q11" s="33"/>
      <c r="R11" s="33"/>
      <c r="S11" s="33"/>
      <c r="T11" s="33"/>
      <c r="U11" s="33"/>
      <c r="V11" s="33"/>
    </row>
    <row r="12" ht="21.0" customHeight="1">
      <c r="A12" s="19" t="s">
        <v>31</v>
      </c>
      <c r="B12" s="32" t="s">
        <v>28</v>
      </c>
      <c r="C12" s="29">
        <v>1.94</v>
      </c>
      <c r="D12" s="29">
        <v>2.24</v>
      </c>
      <c r="E12" s="29">
        <v>2.37</v>
      </c>
      <c r="F12" s="29">
        <v>2.35</v>
      </c>
      <c r="G12" s="29">
        <v>2.21</v>
      </c>
      <c r="H12" s="29">
        <v>2.53</v>
      </c>
      <c r="I12" s="29">
        <v>1.99</v>
      </c>
      <c r="J12" s="29">
        <v>2.07</v>
      </c>
      <c r="K12" s="29">
        <v>2.0</v>
      </c>
      <c r="L12" s="29">
        <v>2.01</v>
      </c>
      <c r="M12" s="29">
        <v>2.14</v>
      </c>
      <c r="N12" s="29">
        <v>2.13</v>
      </c>
      <c r="O12" s="29">
        <v>2.3</v>
      </c>
      <c r="P12" s="29">
        <v>2.3</v>
      </c>
      <c r="Q12" s="33"/>
      <c r="R12" s="33"/>
      <c r="S12" s="33"/>
      <c r="T12" s="33"/>
      <c r="U12" s="33"/>
      <c r="V12" s="33"/>
    </row>
    <row r="13" ht="21.0" customHeight="1">
      <c r="A13" s="19" t="s">
        <v>32</v>
      </c>
      <c r="B13" s="32" t="s">
        <v>33</v>
      </c>
      <c r="C13" s="29">
        <v>4.51</v>
      </c>
      <c r="D13" s="29">
        <v>4.46</v>
      </c>
      <c r="E13" s="29">
        <v>4.87</v>
      </c>
      <c r="F13" s="29">
        <v>4.85</v>
      </c>
      <c r="G13" s="29">
        <v>7.84</v>
      </c>
      <c r="H13" s="29">
        <v>7.72</v>
      </c>
      <c r="I13" s="29">
        <v>6.73</v>
      </c>
      <c r="J13" s="29">
        <v>9.43</v>
      </c>
      <c r="K13" s="29">
        <v>9.84</v>
      </c>
      <c r="L13" s="29">
        <v>9.73</v>
      </c>
      <c r="M13" s="29">
        <v>9.62</v>
      </c>
      <c r="N13" s="29">
        <v>9.85</v>
      </c>
      <c r="O13" s="29">
        <v>10.01</v>
      </c>
      <c r="P13" s="29">
        <v>9.91</v>
      </c>
      <c r="Q13" s="33"/>
      <c r="R13" s="33"/>
      <c r="S13" s="33"/>
      <c r="T13" s="33"/>
      <c r="U13" s="33"/>
      <c r="V13" s="33"/>
    </row>
    <row r="14" ht="21.0" customHeight="1">
      <c r="A14" s="19" t="s">
        <v>34</v>
      </c>
      <c r="B14" s="32" t="s">
        <v>33</v>
      </c>
      <c r="C14" s="29">
        <v>3.69</v>
      </c>
      <c r="D14" s="29">
        <v>2.79</v>
      </c>
      <c r="E14" s="29">
        <v>3.71</v>
      </c>
      <c r="F14" s="29">
        <v>3.71</v>
      </c>
      <c r="G14" s="29">
        <v>4.99</v>
      </c>
      <c r="H14" s="29">
        <v>4.92</v>
      </c>
      <c r="I14" s="29">
        <v>4.51</v>
      </c>
      <c r="J14" s="29">
        <v>4.59</v>
      </c>
      <c r="K14" s="29">
        <v>4.85</v>
      </c>
      <c r="L14" s="29">
        <v>4.58</v>
      </c>
      <c r="M14" s="29">
        <v>4.59</v>
      </c>
      <c r="N14" s="29">
        <v>4.47</v>
      </c>
      <c r="O14" s="29">
        <v>5.8</v>
      </c>
      <c r="P14" s="29">
        <v>5.51</v>
      </c>
      <c r="Q14" s="33"/>
      <c r="R14" s="33"/>
      <c r="S14" s="33"/>
      <c r="T14" s="33"/>
      <c r="U14" s="33"/>
      <c r="V14" s="33"/>
    </row>
    <row r="15" ht="21.0" customHeight="1">
      <c r="A15" s="19" t="s">
        <v>35</v>
      </c>
      <c r="B15" s="32" t="s">
        <v>33</v>
      </c>
      <c r="C15" s="29">
        <v>5.28</v>
      </c>
      <c r="D15" s="29">
        <v>5.39</v>
      </c>
      <c r="E15" s="29">
        <v>4.99</v>
      </c>
      <c r="F15" s="29">
        <v>4.93</v>
      </c>
      <c r="G15" s="29">
        <v>5.09</v>
      </c>
      <c r="H15" s="29">
        <v>4.41</v>
      </c>
      <c r="I15" s="29">
        <v>4.81</v>
      </c>
      <c r="J15" s="29">
        <v>5.01</v>
      </c>
      <c r="K15" s="29">
        <v>5.24</v>
      </c>
      <c r="L15" s="29">
        <v>5.14</v>
      </c>
      <c r="M15" s="29">
        <v>5.24</v>
      </c>
      <c r="N15" s="29">
        <v>5.03</v>
      </c>
      <c r="O15" s="29">
        <v>5.27</v>
      </c>
      <c r="P15" s="29">
        <v>5.21</v>
      </c>
      <c r="Q15" s="33"/>
      <c r="R15" s="33"/>
      <c r="S15" s="33"/>
      <c r="T15" s="33"/>
      <c r="U15" s="33"/>
      <c r="V15" s="33"/>
    </row>
    <row r="16" ht="21.0" customHeight="1">
      <c r="A16" s="19" t="s">
        <v>36</v>
      </c>
      <c r="B16" s="32" t="s">
        <v>33</v>
      </c>
      <c r="C16" s="29">
        <v>4.32</v>
      </c>
      <c r="D16" s="29">
        <v>3.42</v>
      </c>
      <c r="E16" s="29">
        <v>4.45</v>
      </c>
      <c r="F16" s="29">
        <v>4.43</v>
      </c>
      <c r="G16" s="29">
        <v>4.14</v>
      </c>
      <c r="H16" s="29">
        <v>3.88</v>
      </c>
      <c r="I16" s="29">
        <v>4.8</v>
      </c>
      <c r="J16" s="29">
        <v>3.99</v>
      </c>
      <c r="K16" s="29">
        <v>4.09</v>
      </c>
      <c r="L16" s="29">
        <v>4.3</v>
      </c>
      <c r="M16" s="29">
        <v>4.11</v>
      </c>
      <c r="N16" s="29">
        <v>4.15</v>
      </c>
      <c r="O16" s="29">
        <v>4.06</v>
      </c>
      <c r="P16" s="29">
        <v>4.05</v>
      </c>
      <c r="Q16" s="33"/>
      <c r="R16" s="33"/>
      <c r="S16" s="33"/>
      <c r="T16" s="33"/>
      <c r="U16" s="33"/>
      <c r="V16" s="33"/>
    </row>
    <row r="17" ht="21.0" customHeight="1">
      <c r="A17" s="19" t="s">
        <v>37</v>
      </c>
      <c r="B17" s="32" t="s">
        <v>33</v>
      </c>
      <c r="C17" s="29">
        <v>2.06</v>
      </c>
      <c r="D17" s="29">
        <v>1.51</v>
      </c>
      <c r="E17" s="29">
        <v>1.98</v>
      </c>
      <c r="F17" s="29">
        <v>1.97</v>
      </c>
      <c r="G17" s="29">
        <v>1.8</v>
      </c>
      <c r="H17" s="29">
        <v>1.53</v>
      </c>
      <c r="I17" s="29">
        <v>1.76</v>
      </c>
      <c r="J17" s="29">
        <v>1.61</v>
      </c>
      <c r="K17" s="29">
        <v>1.5</v>
      </c>
      <c r="L17" s="29">
        <v>1.49</v>
      </c>
      <c r="M17" s="29">
        <v>1.57</v>
      </c>
      <c r="N17" s="29">
        <v>1.93</v>
      </c>
      <c r="O17" s="29">
        <v>2.36</v>
      </c>
      <c r="P17" s="29">
        <v>2.35</v>
      </c>
      <c r="Q17" s="33"/>
      <c r="R17" s="33"/>
      <c r="S17" s="33"/>
      <c r="T17" s="33"/>
      <c r="U17" s="33"/>
      <c r="V17" s="33"/>
    </row>
    <row r="18" ht="21.0" customHeight="1">
      <c r="A18" s="19" t="s">
        <v>38</v>
      </c>
      <c r="B18" s="32" t="s">
        <v>39</v>
      </c>
      <c r="C18" s="29">
        <v>4.34</v>
      </c>
      <c r="D18" s="29">
        <v>3.38</v>
      </c>
      <c r="E18" s="29">
        <v>4.39</v>
      </c>
      <c r="F18" s="29">
        <v>4.35</v>
      </c>
      <c r="G18" s="29">
        <v>4.88</v>
      </c>
      <c r="H18" s="29">
        <v>4.08</v>
      </c>
      <c r="I18" s="29">
        <v>4.06</v>
      </c>
      <c r="J18" s="29">
        <v>3.31</v>
      </c>
      <c r="K18" s="29">
        <v>4.26</v>
      </c>
      <c r="L18" s="29">
        <v>3.75</v>
      </c>
      <c r="M18" s="29">
        <v>3.76</v>
      </c>
      <c r="N18" s="29">
        <v>3.68</v>
      </c>
      <c r="O18" s="29">
        <v>3.59</v>
      </c>
      <c r="P18" s="29">
        <v>3.55</v>
      </c>
      <c r="Q18" s="33"/>
      <c r="R18" s="33"/>
      <c r="S18" s="33"/>
      <c r="T18" s="33"/>
      <c r="U18" s="33"/>
      <c r="V18" s="33"/>
    </row>
    <row r="19" ht="21.0" customHeight="1">
      <c r="A19" s="19" t="s">
        <v>40</v>
      </c>
      <c r="B19" s="32" t="s">
        <v>41</v>
      </c>
      <c r="C19" s="29">
        <v>3.07</v>
      </c>
      <c r="D19" s="29">
        <v>1.84</v>
      </c>
      <c r="E19" s="29">
        <v>3.49</v>
      </c>
      <c r="F19" s="29">
        <v>3.41</v>
      </c>
      <c r="G19" s="29">
        <v>2.42</v>
      </c>
      <c r="H19" s="29">
        <v>2.59</v>
      </c>
      <c r="I19" s="29">
        <v>2.46</v>
      </c>
      <c r="J19" s="29">
        <v>2.46</v>
      </c>
      <c r="K19" s="29">
        <v>2.43</v>
      </c>
      <c r="L19" s="29">
        <v>2.54</v>
      </c>
      <c r="M19" s="29">
        <v>2.56</v>
      </c>
      <c r="N19" s="29">
        <v>2.68</v>
      </c>
      <c r="O19" s="29">
        <v>2.59</v>
      </c>
      <c r="P19" s="29">
        <v>2.58</v>
      </c>
      <c r="Q19" s="33"/>
      <c r="R19" s="33"/>
      <c r="S19" s="33"/>
      <c r="T19" s="33"/>
      <c r="U19" s="33"/>
      <c r="V19" s="33"/>
    </row>
    <row r="20" ht="21.0" customHeight="1">
      <c r="A20" s="19" t="s">
        <v>42</v>
      </c>
      <c r="B20" s="32" t="s">
        <v>41</v>
      </c>
      <c r="C20" s="29">
        <v>0.62</v>
      </c>
      <c r="D20" s="29">
        <v>0.88</v>
      </c>
      <c r="E20" s="29">
        <v>1.1</v>
      </c>
      <c r="F20" s="29">
        <v>1.09</v>
      </c>
      <c r="G20" s="29">
        <v>1.36</v>
      </c>
      <c r="H20" s="29">
        <v>1.29</v>
      </c>
      <c r="I20" s="29">
        <v>1.08</v>
      </c>
      <c r="J20" s="29">
        <v>0.91</v>
      </c>
      <c r="K20" s="29">
        <v>0.85</v>
      </c>
      <c r="L20" s="29">
        <v>0.8</v>
      </c>
      <c r="M20" s="29">
        <v>0.84</v>
      </c>
      <c r="N20" s="29">
        <v>0.78</v>
      </c>
      <c r="O20" s="29">
        <v>0.67</v>
      </c>
      <c r="P20" s="29">
        <v>0.67</v>
      </c>
      <c r="Q20" s="33"/>
      <c r="R20" s="33"/>
      <c r="S20" s="33"/>
      <c r="T20" s="33"/>
      <c r="U20" s="33"/>
      <c r="V20" s="33"/>
    </row>
    <row r="21" ht="21.0" customHeight="1">
      <c r="A21" s="19" t="s">
        <v>43</v>
      </c>
      <c r="B21" s="32" t="s">
        <v>41</v>
      </c>
      <c r="C21" s="29">
        <v>1.68</v>
      </c>
      <c r="D21" s="29">
        <v>1.94</v>
      </c>
      <c r="E21" s="29">
        <v>1.66</v>
      </c>
      <c r="F21" s="29">
        <v>1.63</v>
      </c>
      <c r="G21" s="29">
        <v>2.67</v>
      </c>
      <c r="H21" s="29">
        <v>2.15</v>
      </c>
      <c r="I21" s="29">
        <v>2.47</v>
      </c>
      <c r="J21" s="29">
        <v>2.54</v>
      </c>
      <c r="K21" s="29">
        <v>3.31</v>
      </c>
      <c r="L21" s="29">
        <v>2.72</v>
      </c>
      <c r="M21" s="29">
        <v>2.51</v>
      </c>
      <c r="N21" s="29">
        <v>2.23</v>
      </c>
      <c r="O21" s="29">
        <v>2.86</v>
      </c>
      <c r="P21" s="29">
        <v>2.89</v>
      </c>
      <c r="Q21" s="33"/>
      <c r="R21" s="33"/>
      <c r="S21" s="33"/>
      <c r="T21" s="33"/>
      <c r="U21" s="33"/>
      <c r="V21" s="33"/>
    </row>
    <row r="22" ht="21.0" customHeight="1">
      <c r="A22" s="19" t="s">
        <v>44</v>
      </c>
      <c r="B22" s="32" t="s">
        <v>45</v>
      </c>
      <c r="C22" s="29">
        <v>2.15</v>
      </c>
      <c r="D22" s="29">
        <v>2.9</v>
      </c>
      <c r="E22" s="29">
        <v>2.75</v>
      </c>
      <c r="F22" s="29">
        <v>2.72</v>
      </c>
      <c r="G22" s="29">
        <v>5.12</v>
      </c>
      <c r="H22" s="29">
        <v>4.97</v>
      </c>
      <c r="I22" s="29">
        <v>4.62</v>
      </c>
      <c r="J22" s="29">
        <v>4.35</v>
      </c>
      <c r="K22" s="29">
        <v>3.82</v>
      </c>
      <c r="L22" s="29">
        <v>4.01</v>
      </c>
      <c r="M22" s="29">
        <v>3.96</v>
      </c>
      <c r="N22" s="29">
        <v>3.64</v>
      </c>
      <c r="O22" s="29">
        <v>3.16</v>
      </c>
      <c r="P22" s="29">
        <v>3.14</v>
      </c>
      <c r="Q22" s="33"/>
      <c r="R22" s="33"/>
      <c r="S22" s="33"/>
      <c r="T22" s="33"/>
      <c r="U22" s="33"/>
      <c r="V22" s="33"/>
    </row>
    <row r="23" ht="21.0" customHeight="1">
      <c r="A23" s="19" t="s">
        <v>46</v>
      </c>
      <c r="B23" s="32" t="s">
        <v>45</v>
      </c>
      <c r="C23" s="29">
        <v>1.92</v>
      </c>
      <c r="D23" s="29">
        <v>1.94</v>
      </c>
      <c r="E23" s="29">
        <v>1.99</v>
      </c>
      <c r="F23" s="29">
        <v>1.97</v>
      </c>
      <c r="G23" s="29">
        <v>1.93</v>
      </c>
      <c r="H23" s="29">
        <v>2.03</v>
      </c>
      <c r="I23" s="29">
        <v>2.02</v>
      </c>
      <c r="J23" s="29">
        <v>1.96</v>
      </c>
      <c r="K23" s="29">
        <v>1.95</v>
      </c>
      <c r="L23" s="29">
        <v>1.99</v>
      </c>
      <c r="M23" s="29">
        <v>1.98</v>
      </c>
      <c r="N23" s="29">
        <v>1.96</v>
      </c>
      <c r="O23" s="29">
        <v>1.9</v>
      </c>
      <c r="P23" s="29">
        <v>1.9</v>
      </c>
      <c r="Q23" s="33"/>
      <c r="R23" s="33"/>
      <c r="S23" s="33"/>
      <c r="T23" s="33"/>
      <c r="U23" s="33"/>
      <c r="V23" s="33"/>
    </row>
    <row r="24" ht="21.0" customHeight="1">
      <c r="A24" s="19" t="s">
        <v>47</v>
      </c>
      <c r="B24" s="32" t="s">
        <v>45</v>
      </c>
      <c r="C24" s="29">
        <v>3.62</v>
      </c>
      <c r="D24" s="29">
        <v>3.62</v>
      </c>
      <c r="E24" s="29">
        <v>4.21</v>
      </c>
      <c r="F24" s="29">
        <v>4.17</v>
      </c>
      <c r="G24" s="29">
        <v>4.54</v>
      </c>
      <c r="H24" s="29">
        <v>4.26</v>
      </c>
      <c r="I24" s="29">
        <v>4.97</v>
      </c>
      <c r="J24" s="29">
        <v>4.99</v>
      </c>
      <c r="K24" s="29">
        <v>5.52</v>
      </c>
      <c r="L24" s="29">
        <v>4.62</v>
      </c>
      <c r="M24" s="29">
        <v>4.91</v>
      </c>
      <c r="N24" s="29">
        <v>4.65</v>
      </c>
      <c r="O24" s="29">
        <v>4.85</v>
      </c>
      <c r="P24" s="29">
        <v>4.81</v>
      </c>
      <c r="Q24" s="33"/>
      <c r="R24" s="33"/>
      <c r="S24" s="33"/>
      <c r="T24" s="33"/>
      <c r="U24" s="33"/>
      <c r="V24" s="33"/>
    </row>
    <row r="25" ht="21.0" customHeight="1">
      <c r="A25" s="19" t="s">
        <v>48</v>
      </c>
      <c r="B25" s="32" t="s">
        <v>49</v>
      </c>
      <c r="C25" s="29">
        <v>5.21</v>
      </c>
      <c r="D25" s="29">
        <v>6.46</v>
      </c>
      <c r="E25" s="29">
        <v>5.69</v>
      </c>
      <c r="F25" s="29">
        <v>5.67</v>
      </c>
      <c r="G25" s="29">
        <v>5.99</v>
      </c>
      <c r="H25" s="29">
        <v>5.99</v>
      </c>
      <c r="I25" s="29">
        <v>6.62</v>
      </c>
      <c r="J25" s="29">
        <v>7.01</v>
      </c>
      <c r="K25" s="29">
        <v>6.71</v>
      </c>
      <c r="L25" s="29">
        <v>6.55</v>
      </c>
      <c r="M25" s="29">
        <v>6.53</v>
      </c>
      <c r="N25" s="29">
        <v>6.4</v>
      </c>
      <c r="O25" s="29">
        <v>6.35</v>
      </c>
      <c r="P25" s="29">
        <v>6.29</v>
      </c>
      <c r="Q25" s="33"/>
      <c r="R25" s="33"/>
      <c r="S25" s="33"/>
      <c r="T25" s="33"/>
      <c r="U25" s="33"/>
      <c r="V25" s="33"/>
    </row>
    <row r="26" ht="21.0" customHeight="1">
      <c r="A26" s="19" t="s">
        <v>50</v>
      </c>
      <c r="B26" s="32" t="s">
        <v>49</v>
      </c>
      <c r="C26" s="29">
        <v>6.64</v>
      </c>
      <c r="D26" s="29">
        <v>6.24</v>
      </c>
      <c r="E26" s="29">
        <v>7.01</v>
      </c>
      <c r="F26" s="29">
        <v>6.97</v>
      </c>
      <c r="G26" s="29">
        <v>7.57</v>
      </c>
      <c r="H26" s="29">
        <v>7.41</v>
      </c>
      <c r="I26" s="29">
        <v>8.4</v>
      </c>
      <c r="J26" s="29">
        <v>8.61</v>
      </c>
      <c r="K26" s="29">
        <v>7.67</v>
      </c>
      <c r="L26" s="29">
        <v>7.42</v>
      </c>
      <c r="M26" s="29">
        <v>7.46</v>
      </c>
      <c r="N26" s="29">
        <v>7.62</v>
      </c>
      <c r="O26" s="29">
        <v>8.04</v>
      </c>
      <c r="P26" s="29">
        <v>7.98</v>
      </c>
      <c r="Q26" s="33"/>
      <c r="R26" s="33"/>
      <c r="S26" s="33"/>
      <c r="T26" s="33"/>
      <c r="U26" s="33"/>
      <c r="V26" s="33"/>
    </row>
    <row r="27" ht="21.0" customHeight="1">
      <c r="A27" s="19" t="s">
        <v>51</v>
      </c>
      <c r="B27" s="32" t="s">
        <v>52</v>
      </c>
      <c r="C27" s="29">
        <v>2.65</v>
      </c>
      <c r="D27" s="29">
        <v>2.29</v>
      </c>
      <c r="E27" s="29">
        <v>2.73</v>
      </c>
      <c r="F27" s="29">
        <v>2.71</v>
      </c>
      <c r="G27" s="29">
        <v>2.09</v>
      </c>
      <c r="H27" s="29">
        <v>2.26</v>
      </c>
      <c r="I27" s="29">
        <v>2.31</v>
      </c>
      <c r="J27" s="29">
        <v>2.06</v>
      </c>
      <c r="K27" s="29">
        <v>2.01</v>
      </c>
      <c r="L27" s="29">
        <v>1.99</v>
      </c>
      <c r="M27" s="29">
        <v>2.17</v>
      </c>
      <c r="N27" s="29">
        <v>2.12</v>
      </c>
      <c r="O27" s="29">
        <v>1.96</v>
      </c>
      <c r="P27" s="29">
        <v>1.97</v>
      </c>
      <c r="Q27" s="33"/>
      <c r="R27" s="33"/>
      <c r="S27" s="33"/>
      <c r="T27" s="33"/>
      <c r="U27" s="33"/>
      <c r="V27" s="33"/>
    </row>
    <row r="28" ht="21.0" customHeight="1">
      <c r="A28" s="19" t="s">
        <v>53</v>
      </c>
      <c r="B28" s="32" t="s">
        <v>54</v>
      </c>
      <c r="C28" s="29">
        <v>3.19</v>
      </c>
      <c r="D28" s="29">
        <v>2.96</v>
      </c>
      <c r="E28" s="29">
        <v>3.97</v>
      </c>
      <c r="F28" s="29">
        <v>3.95</v>
      </c>
      <c r="G28" s="29">
        <v>3.22</v>
      </c>
      <c r="H28" s="29">
        <v>3.14</v>
      </c>
      <c r="I28" s="29">
        <v>3.0</v>
      </c>
      <c r="J28" s="29">
        <v>2.83</v>
      </c>
      <c r="K28" s="29">
        <v>2.89</v>
      </c>
      <c r="L28" s="29">
        <v>3.13</v>
      </c>
      <c r="M28" s="29">
        <v>2.94</v>
      </c>
      <c r="N28" s="29">
        <v>2.99</v>
      </c>
      <c r="O28" s="29">
        <v>3.05</v>
      </c>
      <c r="P28" s="29">
        <v>3.05</v>
      </c>
      <c r="Q28" s="33"/>
      <c r="R28" s="33"/>
      <c r="S28" s="33"/>
      <c r="T28" s="33"/>
      <c r="U28" s="33"/>
      <c r="V28" s="33"/>
    </row>
    <row r="29" ht="21.0" customHeight="1">
      <c r="A29" s="19" t="s">
        <v>55</v>
      </c>
      <c r="B29" s="32" t="s">
        <v>54</v>
      </c>
      <c r="C29" s="29">
        <v>0.77</v>
      </c>
      <c r="D29" s="29">
        <v>0.77</v>
      </c>
      <c r="E29" s="29">
        <v>0.92</v>
      </c>
      <c r="F29" s="29">
        <v>0.91</v>
      </c>
      <c r="G29" s="29">
        <v>1.42</v>
      </c>
      <c r="H29" s="29">
        <v>1.49</v>
      </c>
      <c r="I29" s="29">
        <v>1.78</v>
      </c>
      <c r="J29" s="29">
        <v>2.36</v>
      </c>
      <c r="K29" s="29">
        <v>2.38</v>
      </c>
      <c r="L29" s="29">
        <v>2.47</v>
      </c>
      <c r="M29" s="29">
        <v>2.49</v>
      </c>
      <c r="N29" s="29">
        <v>2.1</v>
      </c>
      <c r="O29" s="29">
        <v>1.68</v>
      </c>
      <c r="P29" s="29">
        <v>1.7</v>
      </c>
      <c r="Q29" s="33"/>
      <c r="R29" s="33"/>
      <c r="S29" s="33"/>
      <c r="T29" s="33"/>
      <c r="U29" s="33"/>
      <c r="V29" s="33"/>
    </row>
    <row r="30" ht="21.0" customHeight="1">
      <c r="A30" s="19" t="s">
        <v>56</v>
      </c>
      <c r="B30" s="32" t="s">
        <v>54</v>
      </c>
      <c r="C30" s="29">
        <v>1.77</v>
      </c>
      <c r="D30" s="29">
        <v>1.76</v>
      </c>
      <c r="E30" s="29">
        <v>1.83</v>
      </c>
      <c r="F30" s="29">
        <v>1.79</v>
      </c>
      <c r="G30" s="29">
        <v>1.85</v>
      </c>
      <c r="H30" s="29">
        <v>1.77</v>
      </c>
      <c r="I30" s="29">
        <v>2.22</v>
      </c>
      <c r="J30" s="29">
        <v>2.19</v>
      </c>
      <c r="K30" s="29">
        <v>2.16</v>
      </c>
      <c r="L30" s="29">
        <v>2.21</v>
      </c>
      <c r="M30" s="29">
        <v>2.2</v>
      </c>
      <c r="N30" s="29">
        <v>2.21</v>
      </c>
      <c r="O30" s="29">
        <v>2.0</v>
      </c>
      <c r="P30" s="29">
        <v>2.02</v>
      </c>
      <c r="Q30" s="33"/>
      <c r="R30" s="33"/>
      <c r="S30" s="33"/>
      <c r="T30" s="33"/>
      <c r="U30" s="33"/>
      <c r="V30" s="33"/>
    </row>
    <row r="31" ht="21.0" customHeight="1">
      <c r="A31" s="19" t="s">
        <v>57</v>
      </c>
      <c r="B31" s="32" t="s">
        <v>54</v>
      </c>
      <c r="C31" s="29">
        <v>2.98</v>
      </c>
      <c r="D31" s="29">
        <v>2.5</v>
      </c>
      <c r="E31" s="29">
        <v>3.19</v>
      </c>
      <c r="F31" s="29">
        <v>3.16</v>
      </c>
      <c r="G31" s="29">
        <v>3.89</v>
      </c>
      <c r="H31" s="29">
        <v>4.62</v>
      </c>
      <c r="I31" s="29">
        <v>4.25</v>
      </c>
      <c r="J31" s="29">
        <v>4.42</v>
      </c>
      <c r="K31" s="29">
        <v>4.58</v>
      </c>
      <c r="L31" s="29">
        <v>4.33</v>
      </c>
      <c r="M31" s="29">
        <v>4.52</v>
      </c>
      <c r="N31" s="29">
        <v>4.44</v>
      </c>
      <c r="O31" s="29">
        <v>4.94</v>
      </c>
      <c r="P31" s="29">
        <v>4.84</v>
      </c>
      <c r="Q31" s="33"/>
      <c r="R31" s="33"/>
      <c r="S31" s="33"/>
      <c r="T31" s="33"/>
      <c r="U31" s="33"/>
      <c r="V31" s="33"/>
    </row>
    <row r="32" ht="21.0" customHeight="1">
      <c r="A32" s="19" t="s">
        <v>58</v>
      </c>
      <c r="B32" s="32" t="s">
        <v>54</v>
      </c>
      <c r="C32" s="29">
        <v>1.4</v>
      </c>
      <c r="D32" s="29">
        <v>1.63</v>
      </c>
      <c r="E32" s="29">
        <v>1.72</v>
      </c>
      <c r="F32" s="29">
        <v>1.71</v>
      </c>
      <c r="G32" s="29">
        <v>1.79</v>
      </c>
      <c r="H32" s="29">
        <v>2.17</v>
      </c>
      <c r="I32" s="29">
        <v>2.16</v>
      </c>
      <c r="J32" s="29">
        <v>2.19</v>
      </c>
      <c r="K32" s="29">
        <v>2.22</v>
      </c>
      <c r="L32" s="29">
        <v>2.28</v>
      </c>
      <c r="M32" s="29">
        <v>2.3</v>
      </c>
      <c r="N32" s="29">
        <v>2.21</v>
      </c>
      <c r="O32" s="29">
        <v>2.5</v>
      </c>
      <c r="P32" s="29">
        <v>2.51</v>
      </c>
      <c r="Q32" s="33"/>
      <c r="R32" s="33"/>
      <c r="S32" s="33"/>
      <c r="T32" s="33"/>
      <c r="U32" s="33"/>
      <c r="V32" s="33"/>
    </row>
    <row r="33" ht="21.0" customHeight="1">
      <c r="A33" s="19" t="s">
        <v>59</v>
      </c>
      <c r="B33" s="32" t="s">
        <v>49</v>
      </c>
      <c r="C33" s="29">
        <v>7.15</v>
      </c>
      <c r="D33" s="29">
        <v>7.79</v>
      </c>
      <c r="E33" s="29">
        <v>7.51</v>
      </c>
      <c r="F33" s="29">
        <v>8.23</v>
      </c>
      <c r="G33" s="29">
        <v>8.74</v>
      </c>
      <c r="H33" s="29">
        <v>8.31</v>
      </c>
      <c r="I33" s="29">
        <v>7.72</v>
      </c>
      <c r="J33" s="29">
        <v>7.45</v>
      </c>
      <c r="K33" s="29">
        <v>8.85</v>
      </c>
      <c r="L33" s="29">
        <v>7.49</v>
      </c>
      <c r="M33" s="29">
        <v>6.75</v>
      </c>
      <c r="N33" s="29">
        <v>6.73</v>
      </c>
      <c r="O33" s="29">
        <v>6.35</v>
      </c>
      <c r="P33" s="29">
        <v>6.29</v>
      </c>
      <c r="Q33" s="33"/>
      <c r="R33" s="33"/>
      <c r="S33" s="33"/>
      <c r="T33" s="33"/>
      <c r="U33" s="33"/>
      <c r="V33" s="33"/>
    </row>
    <row r="34" ht="21.0" customHeight="1">
      <c r="A34" s="19" t="s">
        <v>60</v>
      </c>
      <c r="B34" s="32" t="s">
        <v>20</v>
      </c>
      <c r="C34" s="29">
        <v>2.33</v>
      </c>
      <c r="D34" s="29">
        <v>2.32</v>
      </c>
      <c r="E34" s="29">
        <v>3.31</v>
      </c>
      <c r="F34" s="29">
        <v>3.44</v>
      </c>
      <c r="G34" s="29">
        <v>3.48</v>
      </c>
      <c r="H34" s="29">
        <v>3.61</v>
      </c>
      <c r="I34" s="29">
        <v>3.54</v>
      </c>
      <c r="J34" s="29">
        <v>3.2</v>
      </c>
      <c r="K34" s="29">
        <v>3.97</v>
      </c>
      <c r="L34" s="29">
        <v>3.24</v>
      </c>
      <c r="M34" s="29">
        <v>2.47</v>
      </c>
      <c r="N34" s="29">
        <v>2.49</v>
      </c>
      <c r="O34" s="29">
        <v>2.32</v>
      </c>
      <c r="P34" s="29">
        <v>2.33</v>
      </c>
      <c r="Q34" s="33"/>
      <c r="R34" s="33"/>
      <c r="S34" s="33"/>
      <c r="T34" s="33"/>
      <c r="U34" s="33"/>
      <c r="V34" s="33"/>
    </row>
    <row r="35" ht="21.0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ht="21.0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ht="21.0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ht="21.0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ht="21.0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ht="21.0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ht="21.0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ht="21.0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ht="21.0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ht="21.0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ht="21.0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ht="21.0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ht="21.0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ht="21.0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ht="21.0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ht="21.0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ht="21.0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ht="21.0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ht="21.0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ht="21.0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ht="21.0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ht="21.0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ht="21.0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ht="21.0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ht="21.0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ht="21.0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ht="21.0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ht="21.0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ht="21.0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ht="21.0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ht="21.0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ht="21.0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ht="21.0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ht="21.0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ht="21.0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ht="21.0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ht="21.0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ht="21.0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ht="21.0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ht="21.0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ht="21.0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ht="21.0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ht="21.0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ht="21.0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ht="21.0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ht="21.0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ht="21.0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ht="21.0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ht="21.0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ht="21.0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ht="21.0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ht="21.0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ht="21.0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ht="21.0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ht="21.0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ht="21.0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ht="21.0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ht="21.0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ht="21.0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ht="21.0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ht="21.0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ht="21.0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ht="21.0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ht="21.0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ht="21.0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ht="21.0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ht="21.0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ht="21.0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ht="21.0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ht="21.0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ht="21.0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ht="21.0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ht="21.0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ht="21.0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ht="21.0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ht="21.0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ht="21.0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ht="21.0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ht="21.0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ht="21.0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ht="21.0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ht="21.0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ht="21.0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ht="21.0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ht="21.0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ht="21.0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ht="21.0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ht="21.0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ht="21.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ht="21.0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ht="21.0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ht="21.0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ht="21.0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ht="21.0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ht="21.0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ht="21.0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ht="21.0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ht="21.0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ht="21.0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ht="21.0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ht="21.0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ht="21.0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ht="21.0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ht="21.0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ht="21.0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ht="21.0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ht="21.0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ht="21.0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ht="21.0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ht="21.0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ht="21.0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ht="21.0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ht="21.0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ht="21.0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ht="21.0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ht="21.0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ht="21.0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ht="21.0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ht="21.0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ht="21.0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ht="21.0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ht="21.0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ht="21.0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ht="21.0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ht="21.0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ht="21.0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ht="21.0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ht="21.0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ht="21.0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ht="21.0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ht="21.0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ht="21.0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ht="21.0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ht="21.0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ht="21.0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ht="21.0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ht="21.0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ht="21.0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ht="21.0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ht="21.0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ht="21.0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ht="21.0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ht="21.0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ht="21.0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ht="21.0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ht="21.0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ht="21.0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ht="21.0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ht="21.0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ht="21.0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ht="21.0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ht="21.0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ht="21.0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ht="21.0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ht="21.0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ht="21.0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ht="21.0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ht="21.0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ht="21.0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ht="21.0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ht="21.0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ht="21.0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ht="21.0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ht="21.0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ht="21.0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ht="21.0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ht="21.0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ht="21.0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ht="21.0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ht="21.0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 ht="21.0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 ht="21.0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 ht="21.0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 ht="21.0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 ht="21.0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 ht="21.0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 ht="21.0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 ht="21.0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 ht="21.0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 ht="21.0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 ht="21.0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 ht="21.0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 ht="21.0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 ht="21.0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 ht="21.0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 ht="21.0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 ht="21.0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 ht="21.0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 ht="21.0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 ht="21.0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 ht="21.0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 ht="21.0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 ht="21.0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 ht="21.0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 ht="21.0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 ht="21.0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 ht="21.0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 ht="21.0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 ht="21.0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 ht="21.0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 ht="21.0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 ht="21.0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 ht="21.0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 ht="21.0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 ht="21.0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 ht="21.0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 ht="21.0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 ht="21.0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 ht="21.0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 ht="21.0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 ht="21.0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 ht="21.0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 ht="21.0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 ht="21.0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 ht="21.0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</row>
    <row r="250" ht="21.0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</row>
    <row r="251" ht="21.0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</row>
    <row r="252" ht="21.0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</row>
    <row r="253" ht="21.0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</row>
    <row r="254" ht="21.0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</row>
    <row r="255" ht="21.0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</row>
    <row r="256" ht="21.0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</row>
    <row r="257" ht="21.0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</row>
    <row r="258" ht="21.0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</row>
    <row r="259" ht="21.0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</row>
    <row r="260" ht="21.0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</row>
    <row r="261" ht="21.0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</row>
    <row r="262" ht="21.0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</row>
    <row r="263" ht="21.0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</row>
    <row r="264" ht="21.0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</row>
    <row r="265" ht="21.0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</row>
    <row r="266" ht="21.0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</row>
    <row r="267" ht="21.0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</row>
    <row r="268" ht="21.0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</row>
    <row r="269" ht="21.0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</row>
    <row r="270" ht="21.0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</row>
    <row r="271" ht="21.0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</row>
    <row r="272" ht="21.0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</row>
    <row r="273" ht="21.0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</row>
    <row r="274" ht="21.0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</row>
    <row r="275" ht="21.0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</row>
    <row r="276" ht="21.0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</row>
    <row r="277" ht="21.0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</row>
    <row r="278" ht="21.0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</row>
    <row r="279" ht="21.0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</row>
    <row r="280" ht="21.0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</row>
    <row r="281" ht="21.0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</row>
    <row r="282" ht="21.0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</row>
    <row r="283" ht="21.0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</row>
    <row r="284" ht="21.0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</row>
    <row r="285" ht="21.0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</row>
    <row r="286" ht="21.0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</row>
    <row r="287" ht="21.0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</row>
    <row r="288" ht="21.0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</row>
    <row r="289" ht="21.0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</row>
    <row r="290" ht="21.0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</row>
    <row r="291" ht="21.0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</row>
    <row r="292" ht="21.0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</row>
    <row r="293" ht="21.0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</row>
    <row r="294" ht="21.0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</row>
    <row r="295" ht="21.0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</row>
    <row r="296" ht="21.0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</row>
    <row r="297" ht="21.0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</row>
    <row r="298" ht="21.0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</row>
    <row r="299" ht="21.0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</row>
    <row r="300" ht="21.0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</row>
    <row r="301" ht="21.0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</row>
    <row r="302" ht="21.0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</row>
    <row r="303" ht="21.0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</row>
    <row r="304" ht="21.0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</row>
    <row r="305" ht="21.0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</row>
    <row r="306" ht="21.0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</row>
    <row r="307" ht="21.0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</row>
    <row r="308" ht="21.0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</row>
    <row r="309" ht="21.0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</row>
    <row r="310" ht="21.0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</row>
    <row r="311" ht="21.0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</row>
    <row r="312" ht="21.0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</row>
    <row r="313" ht="21.0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</row>
    <row r="314" ht="21.0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</row>
    <row r="315" ht="21.0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</row>
    <row r="316" ht="21.0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</row>
    <row r="317" ht="21.0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</row>
    <row r="318" ht="21.0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</row>
    <row r="319" ht="21.0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</row>
    <row r="320" ht="21.0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</row>
    <row r="321" ht="21.0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</row>
    <row r="322" ht="21.0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</row>
    <row r="323" ht="21.0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</row>
    <row r="324" ht="21.0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</row>
    <row r="325" ht="21.0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</row>
    <row r="326" ht="21.0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</row>
    <row r="327" ht="21.0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</row>
    <row r="328" ht="21.0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</row>
    <row r="329" ht="21.0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</row>
    <row r="330" ht="21.0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</row>
    <row r="331" ht="21.0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</row>
    <row r="332" ht="21.0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</row>
    <row r="333" ht="21.0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</row>
    <row r="334" ht="21.0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</row>
    <row r="335" ht="21.0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</row>
    <row r="336" ht="21.0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</row>
    <row r="337" ht="21.0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</row>
    <row r="338" ht="21.0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</row>
    <row r="339" ht="21.0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</row>
    <row r="340" ht="21.0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</row>
    <row r="341" ht="21.0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</row>
    <row r="342" ht="21.0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</row>
    <row r="343" ht="21.0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</row>
    <row r="344" ht="21.0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</row>
    <row r="345" ht="21.0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</row>
    <row r="346" ht="21.0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</row>
    <row r="347" ht="21.0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</row>
    <row r="348" ht="21.0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</row>
    <row r="349" ht="21.0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</row>
    <row r="350" ht="21.0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</row>
    <row r="351" ht="21.0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</row>
    <row r="352" ht="21.0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</row>
    <row r="353" ht="21.0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</row>
    <row r="354" ht="21.0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</row>
    <row r="355" ht="21.0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</row>
    <row r="356" ht="21.0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</row>
    <row r="357" ht="21.0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</row>
    <row r="358" ht="21.0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</row>
    <row r="359" ht="21.0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</row>
    <row r="360" ht="21.0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</row>
    <row r="361" ht="21.0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</row>
    <row r="362" ht="21.0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</row>
    <row r="363" ht="21.0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</row>
    <row r="364" ht="21.0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</row>
    <row r="365" ht="21.0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</row>
    <row r="366" ht="21.0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</row>
    <row r="367" ht="21.0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</row>
    <row r="368" ht="21.0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</row>
    <row r="369" ht="21.0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</row>
    <row r="370" ht="21.0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</row>
    <row r="371" ht="21.0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</row>
    <row r="372" ht="21.0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</row>
    <row r="373" ht="21.0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</row>
    <row r="374" ht="21.0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</row>
    <row r="375" ht="21.0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</row>
    <row r="376" ht="21.0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</row>
    <row r="377" ht="21.0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</row>
    <row r="378" ht="21.0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</row>
    <row r="379" ht="21.0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</row>
    <row r="380" ht="21.0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</row>
    <row r="381" ht="21.0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</row>
    <row r="382" ht="21.0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</row>
    <row r="383" ht="21.0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</row>
    <row r="384" ht="21.0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</row>
    <row r="385" ht="21.0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</row>
    <row r="386" ht="21.0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</row>
    <row r="387" ht="21.0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</row>
    <row r="388" ht="21.0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</row>
    <row r="389" ht="21.0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</row>
    <row r="390" ht="21.0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</row>
    <row r="391" ht="21.0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</row>
    <row r="392" ht="21.0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</row>
    <row r="393" ht="21.0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</row>
    <row r="394" ht="21.0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</row>
    <row r="395" ht="21.0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</row>
    <row r="396" ht="21.0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</row>
    <row r="397" ht="21.0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</row>
    <row r="398" ht="21.0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</row>
    <row r="399" ht="21.0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</row>
    <row r="400" ht="21.0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</row>
    <row r="401" ht="21.0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</row>
    <row r="402" ht="21.0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</row>
    <row r="403" ht="21.0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</row>
    <row r="404" ht="21.0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</row>
    <row r="405" ht="21.0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</row>
    <row r="406" ht="21.0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</row>
    <row r="407" ht="21.0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</row>
    <row r="408" ht="21.0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</row>
    <row r="409" ht="21.0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</row>
    <row r="410" ht="21.0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</row>
    <row r="411" ht="21.0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</row>
    <row r="412" ht="21.0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</row>
    <row r="413" ht="21.0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</row>
    <row r="414" ht="21.0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</row>
    <row r="415" ht="21.0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</row>
    <row r="416" ht="21.0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</row>
    <row r="417" ht="21.0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</row>
    <row r="418" ht="21.0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</row>
    <row r="419" ht="21.0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</row>
    <row r="420" ht="21.0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</row>
    <row r="421" ht="21.0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</row>
    <row r="422" ht="21.0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</row>
    <row r="423" ht="21.0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</row>
    <row r="424" ht="21.0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</row>
    <row r="425" ht="21.0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</row>
    <row r="426" ht="21.0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</row>
    <row r="427" ht="21.0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</row>
    <row r="428" ht="21.0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</row>
    <row r="429" ht="21.0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</row>
    <row r="430" ht="21.0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</row>
    <row r="431" ht="21.0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</row>
    <row r="432" ht="21.0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</row>
    <row r="433" ht="21.0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</row>
    <row r="434" ht="21.0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</row>
    <row r="435" ht="21.0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</row>
    <row r="436" ht="21.0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</row>
    <row r="437" ht="21.0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</row>
    <row r="438" ht="21.0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</row>
    <row r="439" ht="21.0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</row>
    <row r="440" ht="21.0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</row>
    <row r="441" ht="21.0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</row>
    <row r="442" ht="21.0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</row>
    <row r="443" ht="21.0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</row>
    <row r="444" ht="21.0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</row>
    <row r="445" ht="21.0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</row>
    <row r="446" ht="21.0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</row>
    <row r="447" ht="21.0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</row>
    <row r="448" ht="21.0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</row>
    <row r="449" ht="21.0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</row>
    <row r="450" ht="21.0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</row>
    <row r="451" ht="21.0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</row>
    <row r="452" ht="21.0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</row>
    <row r="453" ht="21.0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</row>
    <row r="454" ht="21.0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</row>
    <row r="455" ht="21.0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</row>
    <row r="456" ht="21.0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</row>
    <row r="457" ht="21.0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</row>
    <row r="458" ht="21.0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</row>
    <row r="459" ht="21.0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</row>
    <row r="460" ht="21.0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</row>
    <row r="461" ht="21.0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</row>
    <row r="462" ht="21.0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</row>
    <row r="463" ht="21.0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</row>
    <row r="464" ht="21.0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</row>
    <row r="465" ht="21.0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</row>
    <row r="466" ht="21.0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</row>
    <row r="467" ht="21.0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</row>
    <row r="468" ht="21.0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</row>
    <row r="469" ht="21.0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</row>
    <row r="470" ht="21.0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</row>
    <row r="471" ht="21.0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</row>
    <row r="472" ht="21.0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</row>
    <row r="473" ht="21.0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</row>
    <row r="474" ht="21.0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</row>
    <row r="475" ht="21.0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</row>
    <row r="476" ht="21.0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</row>
    <row r="477" ht="21.0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</row>
    <row r="478" ht="21.0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</row>
    <row r="479" ht="21.0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</row>
    <row r="480" ht="21.0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</row>
    <row r="481" ht="21.0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</row>
    <row r="482" ht="21.0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</row>
    <row r="483" ht="21.0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</row>
    <row r="484" ht="21.0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</row>
    <row r="485" ht="21.0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</row>
    <row r="486" ht="21.0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</row>
    <row r="487" ht="21.0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</row>
    <row r="488" ht="21.0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</row>
    <row r="489" ht="21.0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</row>
    <row r="490" ht="21.0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</row>
    <row r="491" ht="21.0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</row>
    <row r="492" ht="21.0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</row>
    <row r="493" ht="21.0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</row>
    <row r="494" ht="21.0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</row>
    <row r="495" ht="21.0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</row>
    <row r="496" ht="21.0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</row>
    <row r="497" ht="21.0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</row>
    <row r="498" ht="21.0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</row>
    <row r="499" ht="21.0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</row>
    <row r="500" ht="21.0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</row>
    <row r="501" ht="21.0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</row>
    <row r="502" ht="21.0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</row>
    <row r="503" ht="21.0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</row>
    <row r="504" ht="21.0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</row>
    <row r="505" ht="21.0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</row>
    <row r="506" ht="21.0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</row>
    <row r="507" ht="21.0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</row>
    <row r="508" ht="21.0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</row>
    <row r="509" ht="21.0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</row>
    <row r="510" ht="21.0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</row>
    <row r="511" ht="21.0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</row>
    <row r="512" ht="21.0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</row>
    <row r="513" ht="21.0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</row>
    <row r="514" ht="21.0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</row>
    <row r="515" ht="21.0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</row>
    <row r="516" ht="21.0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</row>
    <row r="517" ht="21.0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</row>
    <row r="518" ht="21.0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</row>
    <row r="519" ht="21.0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</row>
    <row r="520" ht="21.0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</row>
    <row r="521" ht="21.0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</row>
    <row r="522" ht="21.0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</row>
    <row r="523" ht="21.0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</row>
    <row r="524" ht="21.0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</row>
    <row r="525" ht="21.0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</row>
    <row r="526" ht="21.0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</row>
    <row r="527" ht="21.0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</row>
    <row r="528" ht="21.0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</row>
    <row r="529" ht="21.0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</row>
    <row r="530" ht="21.0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</row>
    <row r="531" ht="21.0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</row>
    <row r="532" ht="21.0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</row>
    <row r="533" ht="21.0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</row>
    <row r="534" ht="21.0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</row>
    <row r="535" ht="21.0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</row>
    <row r="536" ht="21.0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</row>
    <row r="537" ht="21.0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</row>
    <row r="538" ht="21.0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</row>
    <row r="539" ht="21.0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</row>
    <row r="540" ht="21.0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</row>
    <row r="541" ht="21.0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</row>
    <row r="542" ht="21.0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</row>
    <row r="543" ht="21.0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</row>
    <row r="544" ht="21.0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</row>
    <row r="545" ht="21.0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</row>
    <row r="546" ht="21.0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</row>
    <row r="547" ht="21.0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</row>
    <row r="548" ht="21.0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</row>
    <row r="549" ht="21.0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</row>
    <row r="550" ht="21.0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</row>
    <row r="551" ht="21.0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</row>
    <row r="552" ht="21.0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</row>
    <row r="553" ht="21.0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</row>
    <row r="554" ht="21.0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</row>
    <row r="555" ht="21.0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</row>
    <row r="556" ht="21.0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</row>
    <row r="557" ht="21.0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</row>
    <row r="558" ht="21.0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</row>
    <row r="559" ht="21.0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</row>
    <row r="560" ht="21.0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</row>
    <row r="561" ht="21.0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</row>
    <row r="562" ht="21.0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</row>
    <row r="563" ht="21.0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</row>
    <row r="564" ht="21.0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</row>
    <row r="565" ht="21.0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</row>
    <row r="566" ht="21.0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</row>
    <row r="567" ht="21.0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</row>
    <row r="568" ht="21.0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</row>
    <row r="569" ht="21.0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</row>
    <row r="570" ht="21.0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</row>
    <row r="571" ht="21.0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</row>
    <row r="572" ht="21.0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</row>
    <row r="573" ht="21.0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</row>
    <row r="574" ht="21.0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</row>
    <row r="575" ht="21.0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</row>
    <row r="576" ht="21.0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</row>
    <row r="577" ht="21.0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</row>
    <row r="578" ht="21.0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</row>
    <row r="579" ht="21.0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</row>
    <row r="580" ht="21.0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</row>
    <row r="581" ht="21.0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</row>
    <row r="582" ht="21.0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</row>
    <row r="583" ht="21.0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</row>
    <row r="584" ht="21.0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</row>
    <row r="585" ht="21.0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</row>
    <row r="586" ht="21.0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</row>
    <row r="587" ht="21.0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</row>
    <row r="588" ht="21.0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</row>
    <row r="589" ht="21.0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</row>
    <row r="590" ht="21.0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</row>
    <row r="591" ht="21.0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</row>
    <row r="592" ht="21.0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</row>
    <row r="593" ht="21.0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</row>
    <row r="594" ht="21.0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</row>
    <row r="595" ht="21.0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</row>
    <row r="596" ht="21.0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</row>
    <row r="597" ht="21.0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</row>
    <row r="598" ht="21.0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</row>
    <row r="599" ht="21.0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</row>
    <row r="600" ht="21.0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</row>
    <row r="601" ht="21.0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</row>
    <row r="602" ht="21.0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</row>
    <row r="603" ht="21.0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</row>
    <row r="604" ht="21.0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</row>
    <row r="605" ht="21.0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</row>
    <row r="606" ht="21.0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</row>
    <row r="607" ht="21.0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</row>
    <row r="608" ht="21.0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</row>
    <row r="609" ht="21.0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</row>
    <row r="610" ht="21.0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</row>
    <row r="611" ht="21.0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</row>
    <row r="612" ht="21.0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</row>
    <row r="613" ht="21.0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</row>
    <row r="614" ht="21.0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</row>
    <row r="615" ht="21.0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</row>
    <row r="616" ht="21.0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</row>
    <row r="617" ht="21.0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</row>
    <row r="618" ht="21.0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</row>
    <row r="619" ht="21.0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</row>
    <row r="620" ht="21.0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</row>
    <row r="621" ht="21.0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</row>
    <row r="622" ht="21.0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</row>
    <row r="623" ht="21.0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</row>
    <row r="624" ht="21.0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</row>
    <row r="625" ht="21.0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</row>
    <row r="626" ht="21.0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</row>
    <row r="627" ht="21.0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</row>
    <row r="628" ht="21.0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</row>
    <row r="629" ht="21.0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</row>
    <row r="630" ht="21.0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</row>
    <row r="631" ht="21.0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</row>
    <row r="632" ht="21.0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</row>
    <row r="633" ht="21.0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</row>
    <row r="634" ht="21.0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</row>
    <row r="635" ht="21.0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</row>
    <row r="636" ht="21.0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</row>
    <row r="637" ht="21.0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</row>
    <row r="638" ht="21.0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</row>
    <row r="639" ht="21.0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</row>
    <row r="640" ht="21.0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</row>
    <row r="641" ht="21.0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</row>
    <row r="642" ht="21.0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</row>
    <row r="643" ht="21.0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</row>
    <row r="644" ht="21.0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</row>
    <row r="645" ht="21.0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</row>
    <row r="646" ht="21.0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</row>
    <row r="647" ht="21.0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</row>
    <row r="648" ht="21.0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</row>
    <row r="649" ht="21.0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</row>
    <row r="650" ht="21.0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</row>
    <row r="651" ht="21.0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</row>
    <row r="652" ht="21.0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</row>
    <row r="653" ht="21.0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</row>
    <row r="654" ht="21.0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</row>
    <row r="655" ht="21.0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</row>
    <row r="656" ht="21.0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</row>
    <row r="657" ht="21.0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</row>
    <row r="658" ht="21.0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</row>
    <row r="659" ht="21.0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</row>
    <row r="660" ht="21.0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</row>
    <row r="661" ht="21.0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</row>
    <row r="662" ht="21.0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</row>
    <row r="663" ht="21.0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</row>
    <row r="664" ht="21.0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</row>
    <row r="665" ht="21.0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</row>
    <row r="666" ht="21.0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</row>
    <row r="667" ht="21.0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</row>
    <row r="668" ht="21.0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</row>
    <row r="669" ht="21.0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</row>
    <row r="670" ht="21.0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</row>
    <row r="671" ht="21.0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</row>
    <row r="672" ht="21.0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</row>
    <row r="673" ht="21.0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</row>
    <row r="674" ht="21.0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</row>
    <row r="675" ht="21.0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</row>
    <row r="676" ht="21.0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</row>
    <row r="677" ht="21.0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</row>
    <row r="678" ht="21.0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</row>
    <row r="679" ht="21.0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</row>
    <row r="680" ht="21.0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</row>
    <row r="681" ht="21.0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</row>
    <row r="682" ht="21.0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</row>
    <row r="683" ht="21.0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</row>
    <row r="684" ht="21.0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</row>
    <row r="685" ht="21.0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</row>
    <row r="686" ht="21.0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</row>
    <row r="687" ht="21.0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</row>
    <row r="688" ht="21.0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</row>
    <row r="689" ht="21.0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</row>
    <row r="690" ht="21.0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</row>
    <row r="691" ht="21.0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</row>
    <row r="692" ht="21.0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</row>
    <row r="693" ht="21.0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</row>
    <row r="694" ht="21.0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</row>
    <row r="695" ht="21.0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</row>
    <row r="696" ht="21.0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</row>
    <row r="697" ht="21.0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</row>
    <row r="698" ht="21.0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</row>
    <row r="699" ht="21.0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</row>
    <row r="700" ht="21.0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</row>
    <row r="701" ht="21.0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</row>
    <row r="702" ht="21.0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</row>
    <row r="703" ht="21.0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</row>
    <row r="704" ht="21.0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</row>
    <row r="705" ht="21.0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</row>
    <row r="706" ht="21.0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</row>
    <row r="707" ht="21.0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</row>
    <row r="708" ht="21.0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</row>
    <row r="709" ht="21.0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</row>
    <row r="710" ht="21.0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</row>
    <row r="711" ht="21.0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</row>
    <row r="712" ht="21.0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</row>
    <row r="713" ht="21.0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</row>
    <row r="714" ht="21.0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</row>
    <row r="715" ht="21.0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</row>
    <row r="716" ht="21.0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</row>
    <row r="717" ht="21.0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</row>
    <row r="718" ht="21.0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</row>
    <row r="719" ht="21.0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</row>
    <row r="720" ht="21.0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</row>
    <row r="721" ht="21.0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</row>
    <row r="722" ht="21.0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</row>
    <row r="723" ht="21.0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</row>
    <row r="724" ht="21.0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</row>
    <row r="725" ht="21.0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</row>
    <row r="726" ht="21.0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</row>
    <row r="727" ht="21.0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</row>
    <row r="728" ht="21.0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</row>
    <row r="729" ht="21.0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</row>
    <row r="730" ht="21.0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</row>
    <row r="731" ht="21.0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</row>
    <row r="732" ht="21.0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</row>
    <row r="733" ht="21.0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</row>
    <row r="734" ht="21.0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</row>
    <row r="735" ht="21.0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</row>
    <row r="736" ht="21.0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</row>
    <row r="737" ht="21.0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</row>
    <row r="738" ht="21.0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</row>
    <row r="739" ht="21.0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</row>
    <row r="740" ht="21.0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</row>
    <row r="741" ht="21.0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</row>
    <row r="742" ht="21.0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</row>
    <row r="743" ht="21.0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</row>
    <row r="744" ht="21.0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</row>
    <row r="745" ht="21.0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</row>
    <row r="746" ht="21.0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</row>
    <row r="747" ht="21.0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</row>
    <row r="748" ht="21.0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</row>
    <row r="749" ht="21.0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</row>
    <row r="750" ht="21.0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</row>
    <row r="751" ht="21.0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</row>
    <row r="752" ht="21.0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</row>
    <row r="753" ht="21.0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</row>
    <row r="754" ht="21.0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</row>
    <row r="755" ht="21.0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</row>
    <row r="756" ht="21.0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</row>
    <row r="757" ht="21.0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</row>
    <row r="758" ht="21.0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</row>
    <row r="759" ht="21.0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</row>
    <row r="760" ht="21.0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</row>
    <row r="761" ht="21.0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</row>
    <row r="762" ht="21.0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</row>
    <row r="763" ht="21.0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</row>
    <row r="764" ht="21.0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</row>
    <row r="765" ht="21.0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</row>
    <row r="766" ht="21.0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</row>
    <row r="767" ht="21.0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</row>
    <row r="768" ht="21.0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</row>
    <row r="769" ht="21.0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</row>
    <row r="770" ht="21.0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</row>
    <row r="771" ht="21.0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</row>
    <row r="772" ht="21.0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</row>
    <row r="773" ht="21.0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</row>
    <row r="774" ht="21.0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</row>
    <row r="775" ht="21.0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</row>
    <row r="776" ht="21.0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</row>
    <row r="777" ht="21.0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</row>
    <row r="778" ht="21.0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</row>
    <row r="779" ht="21.0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</row>
    <row r="780" ht="21.0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</row>
    <row r="781" ht="21.0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</row>
    <row r="782" ht="21.0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</row>
    <row r="783" ht="21.0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</row>
    <row r="784" ht="21.0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</row>
    <row r="785" ht="21.0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</row>
    <row r="786" ht="21.0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</row>
    <row r="787" ht="21.0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</row>
    <row r="788" ht="21.0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</row>
    <row r="789" ht="21.0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</row>
    <row r="790" ht="21.0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</row>
    <row r="791" ht="21.0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</row>
    <row r="792" ht="21.0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</row>
    <row r="793" ht="21.0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</row>
    <row r="794" ht="21.0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</row>
    <row r="795" ht="21.0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</row>
    <row r="796" ht="21.0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</row>
    <row r="797" ht="21.0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</row>
    <row r="798" ht="21.0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</row>
    <row r="799" ht="21.0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</row>
    <row r="800" ht="21.0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</row>
    <row r="801" ht="21.0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</row>
    <row r="802" ht="21.0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</row>
    <row r="803" ht="21.0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</row>
    <row r="804" ht="21.0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</row>
    <row r="805" ht="21.0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</row>
    <row r="806" ht="21.0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</row>
    <row r="807" ht="21.0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</row>
    <row r="808" ht="21.0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</row>
    <row r="809" ht="21.0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</row>
    <row r="810" ht="21.0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</row>
    <row r="811" ht="21.0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</row>
    <row r="812" ht="21.0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</row>
    <row r="813" ht="21.0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</row>
    <row r="814" ht="21.0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</row>
    <row r="815" ht="21.0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</row>
    <row r="816" ht="21.0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</row>
    <row r="817" ht="21.0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</row>
    <row r="818" ht="21.0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</row>
    <row r="819" ht="21.0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</row>
    <row r="820" ht="21.0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</row>
    <row r="821" ht="21.0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</row>
    <row r="822" ht="21.0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</row>
    <row r="823" ht="21.0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</row>
    <row r="824" ht="21.0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</row>
    <row r="825" ht="21.0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</row>
    <row r="826" ht="21.0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</row>
    <row r="827" ht="21.0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</row>
    <row r="828" ht="21.0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</row>
    <row r="829" ht="21.0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</row>
    <row r="830" ht="21.0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</row>
    <row r="831" ht="21.0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</row>
    <row r="832" ht="21.0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</row>
    <row r="833" ht="21.0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</row>
    <row r="834" ht="21.0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</row>
    <row r="835" ht="21.0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</row>
    <row r="836" ht="21.0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</row>
    <row r="837" ht="21.0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</row>
    <row r="838" ht="21.0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</row>
    <row r="839" ht="21.0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</row>
    <row r="840" ht="21.0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</row>
    <row r="841" ht="21.0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</row>
    <row r="842" ht="21.0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</row>
    <row r="843" ht="21.0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</row>
    <row r="844" ht="21.0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</row>
    <row r="845" ht="21.0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</row>
    <row r="846" ht="21.0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</row>
    <row r="847" ht="21.0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</row>
    <row r="848" ht="21.0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</row>
    <row r="849" ht="21.0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</row>
    <row r="850" ht="21.0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</row>
    <row r="851" ht="21.0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</row>
    <row r="852" ht="21.0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</row>
    <row r="853" ht="21.0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</row>
    <row r="854" ht="21.0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</row>
    <row r="855" ht="21.0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</row>
    <row r="856" ht="21.0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</row>
    <row r="857" ht="21.0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</row>
    <row r="858" ht="21.0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</row>
    <row r="859" ht="21.0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</row>
    <row r="860" ht="21.0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</row>
    <row r="861" ht="21.0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</row>
    <row r="862" ht="21.0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</row>
    <row r="863" ht="21.0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</row>
    <row r="864" ht="21.0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</row>
    <row r="865" ht="21.0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</row>
    <row r="866" ht="21.0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</row>
    <row r="867" ht="21.0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</row>
    <row r="868" ht="21.0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</row>
    <row r="869" ht="21.0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</row>
    <row r="870" ht="21.0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</row>
    <row r="871" ht="21.0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</row>
    <row r="872" ht="21.0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</row>
    <row r="873" ht="21.0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</row>
    <row r="874" ht="21.0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</row>
    <row r="875" ht="21.0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</row>
    <row r="876" ht="21.0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</row>
    <row r="877" ht="21.0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</row>
    <row r="878" ht="21.0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</row>
    <row r="879" ht="21.0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</row>
    <row r="880" ht="21.0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</row>
    <row r="881" ht="21.0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</row>
    <row r="882" ht="21.0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</row>
    <row r="883" ht="21.0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</row>
    <row r="884" ht="21.0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</row>
    <row r="885" ht="21.0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</row>
    <row r="886" ht="21.0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</row>
    <row r="887" ht="21.0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</row>
    <row r="888" ht="21.0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</row>
    <row r="889" ht="21.0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</row>
    <row r="890" ht="21.0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</row>
    <row r="891" ht="21.0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</row>
    <row r="892" ht="21.0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</row>
    <row r="893" ht="21.0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</row>
    <row r="894" ht="21.0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</row>
    <row r="895" ht="21.0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</row>
    <row r="896" ht="21.0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</row>
    <row r="897" ht="21.0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</row>
    <row r="898" ht="21.0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</row>
    <row r="899" ht="21.0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</row>
    <row r="900" ht="21.0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</row>
    <row r="901" ht="21.0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</row>
    <row r="902" ht="21.0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</row>
    <row r="903" ht="21.0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</row>
    <row r="904" ht="21.0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</row>
    <row r="905" ht="21.0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</row>
    <row r="906" ht="21.0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</row>
    <row r="907" ht="21.0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</row>
    <row r="908" ht="21.0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</row>
    <row r="909" ht="21.0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</row>
    <row r="910" ht="21.0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</row>
    <row r="911" ht="21.0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</row>
    <row r="912" ht="21.0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</row>
    <row r="913" ht="21.0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</row>
    <row r="914" ht="21.0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</row>
    <row r="915" ht="21.0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</row>
    <row r="916" ht="21.0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</row>
    <row r="917" ht="21.0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</row>
    <row r="918" ht="21.0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</row>
    <row r="919" ht="21.0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</row>
    <row r="920" ht="21.0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</row>
    <row r="921" ht="21.0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</row>
    <row r="922" ht="21.0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</row>
    <row r="923" ht="21.0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</row>
    <row r="924" ht="21.0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</row>
    <row r="925" ht="21.0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</row>
    <row r="926" ht="21.0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</row>
    <row r="927" ht="21.0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</row>
    <row r="928" ht="21.0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</row>
    <row r="929" ht="21.0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</row>
    <row r="930" ht="21.0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</row>
    <row r="931" ht="21.0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</row>
    <row r="932" ht="21.0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</row>
    <row r="933" ht="21.0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</row>
    <row r="934" ht="21.0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</row>
    <row r="935" ht="21.0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</row>
    <row r="936" ht="21.0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</row>
    <row r="937" ht="21.0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</row>
    <row r="938" ht="21.0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</row>
    <row r="939" ht="21.0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</row>
    <row r="940" ht="21.0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</row>
    <row r="941" ht="21.0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</row>
    <row r="942" ht="21.0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</row>
    <row r="943" ht="21.0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</row>
    <row r="944" ht="21.0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</row>
    <row r="945" ht="21.0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</row>
    <row r="946" ht="21.0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</row>
    <row r="947" ht="21.0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</row>
    <row r="948" ht="21.0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</row>
    <row r="949" ht="21.0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</row>
    <row r="950" ht="21.0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</row>
    <row r="951" ht="21.0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</row>
    <row r="952" ht="21.0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</row>
    <row r="953" ht="21.0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</row>
    <row r="954" ht="21.0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</row>
    <row r="955" ht="21.0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</row>
    <row r="956" ht="21.0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</row>
    <row r="957" ht="21.0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</row>
    <row r="958" ht="21.0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</row>
    <row r="959" ht="21.0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</row>
    <row r="960" ht="21.0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</row>
    <row r="961" ht="21.0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</row>
    <row r="962" ht="21.0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</row>
    <row r="963" ht="21.0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</row>
    <row r="964" ht="21.0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</row>
    <row r="965" ht="21.0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</row>
    <row r="966" ht="21.0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</row>
    <row r="967" ht="21.0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</row>
    <row r="968" ht="21.0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</row>
    <row r="969" ht="21.0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</row>
    <row r="970" ht="21.0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</row>
    <row r="971" ht="21.0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</row>
    <row r="972" ht="21.0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</row>
    <row r="973" ht="21.0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</row>
    <row r="974" ht="21.0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</row>
    <row r="975" ht="21.0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</row>
    <row r="976" ht="21.0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</row>
    <row r="977" ht="21.0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</row>
    <row r="978" ht="21.0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</row>
    <row r="979" ht="21.0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</row>
    <row r="980" ht="21.0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</row>
    <row r="981" ht="21.0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</row>
    <row r="982" ht="21.0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</row>
    <row r="983" ht="21.0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</row>
    <row r="984" ht="21.0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</row>
    <row r="985" ht="21.0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</row>
    <row r="986" ht="21.0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</row>
    <row r="987" ht="21.0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</row>
    <row r="988" ht="21.0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</row>
    <row r="989" ht="21.0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</row>
    <row r="990" ht="21.0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</row>
    <row r="991" ht="21.0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</row>
    <row r="992" ht="21.0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</row>
    <row r="993" ht="21.0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</row>
    <row r="994" ht="21.0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</row>
    <row r="995" ht="21.0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</row>
    <row r="996" ht="21.0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</row>
    <row r="997" ht="21.0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</row>
    <row r="998" ht="21.0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</row>
    <row r="999" ht="21.0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</row>
    <row r="1000" ht="21.0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4" t="s">
        <v>1</v>
      </c>
      <c r="C1" s="34" t="s">
        <v>83</v>
      </c>
      <c r="D1" s="34" t="s">
        <v>84</v>
      </c>
      <c r="E1" s="34" t="s">
        <v>85</v>
      </c>
      <c r="F1" s="34" t="s">
        <v>86</v>
      </c>
      <c r="G1" s="34" t="s">
        <v>87</v>
      </c>
      <c r="H1" s="34" t="s">
        <v>88</v>
      </c>
      <c r="I1" s="34" t="s">
        <v>89</v>
      </c>
      <c r="J1" s="34" t="s">
        <v>90</v>
      </c>
      <c r="K1" s="34" t="s">
        <v>91</v>
      </c>
      <c r="L1" s="34" t="s">
        <v>92</v>
      </c>
      <c r="M1" s="34" t="s">
        <v>93</v>
      </c>
      <c r="N1" s="34" t="s">
        <v>94</v>
      </c>
      <c r="O1" s="34" t="s">
        <v>95</v>
      </c>
      <c r="P1" s="34" t="s">
        <v>96</v>
      </c>
      <c r="Q1" s="34" t="s">
        <v>97</v>
      </c>
      <c r="R1" s="34" t="s">
        <v>98</v>
      </c>
      <c r="S1" s="34" t="s">
        <v>99</v>
      </c>
      <c r="T1" s="34" t="s">
        <v>100</v>
      </c>
      <c r="U1" s="34" t="s">
        <v>101</v>
      </c>
      <c r="V1" s="35"/>
      <c r="W1" s="35"/>
      <c r="X1" s="35"/>
      <c r="Y1" s="35"/>
      <c r="Z1" s="35"/>
    </row>
    <row r="2">
      <c r="A2" s="36" t="s">
        <v>16</v>
      </c>
      <c r="B2" s="36" t="s">
        <v>17</v>
      </c>
      <c r="C2" s="36" t="s">
        <v>102</v>
      </c>
      <c r="D2" s="37">
        <v>2.79</v>
      </c>
      <c r="E2" s="37">
        <v>3.23</v>
      </c>
      <c r="F2" s="37">
        <v>3.55</v>
      </c>
      <c r="G2" s="37">
        <v>3.53</v>
      </c>
      <c r="H2" s="37">
        <v>4.69</v>
      </c>
      <c r="I2" s="37">
        <v>4.61</v>
      </c>
      <c r="J2" s="37">
        <v>4.74</v>
      </c>
      <c r="K2" s="37">
        <v>4.57</v>
      </c>
      <c r="L2" s="37">
        <v>4.57</v>
      </c>
      <c r="M2" s="37">
        <v>4.75</v>
      </c>
      <c r="N2" s="37">
        <v>4.59</v>
      </c>
      <c r="O2" s="37">
        <v>4.46</v>
      </c>
      <c r="P2" s="37">
        <v>4.85</v>
      </c>
      <c r="Q2" s="37">
        <v>4.59</v>
      </c>
      <c r="R2" s="37">
        <f t="shared" ref="R2:R34" si="1">AVERAGE(D2:Q2)</f>
        <v>4.251428571</v>
      </c>
      <c r="S2" s="37">
        <f t="shared" ref="S2:S34" si="2">D2</f>
        <v>2.79</v>
      </c>
      <c r="T2" s="37">
        <f t="shared" ref="T2:T34" si="3">Q2</f>
        <v>4.59</v>
      </c>
      <c r="U2" s="38">
        <f t="shared" ref="U2:U34" si="4">IFERROR((T2-S2)/S2,"")</f>
        <v>0.6451612903</v>
      </c>
      <c r="V2" s="35"/>
      <c r="W2" s="35"/>
      <c r="X2" s="35"/>
      <c r="Y2" s="35"/>
      <c r="Z2" s="35"/>
    </row>
    <row r="3">
      <c r="A3" s="39" t="s">
        <v>19</v>
      </c>
      <c r="B3" s="39" t="s">
        <v>20</v>
      </c>
      <c r="C3" s="39" t="s">
        <v>102</v>
      </c>
      <c r="D3" s="40">
        <v>2.57</v>
      </c>
      <c r="E3" s="40">
        <v>3.02</v>
      </c>
      <c r="F3" s="40">
        <v>3.07</v>
      </c>
      <c r="G3" s="40">
        <v>3.09</v>
      </c>
      <c r="H3" s="40">
        <v>2.95</v>
      </c>
      <c r="I3" s="40">
        <v>3.15</v>
      </c>
      <c r="J3" s="40">
        <v>3.79</v>
      </c>
      <c r="K3" s="40">
        <v>3.46</v>
      </c>
      <c r="L3" s="40">
        <v>3.33</v>
      </c>
      <c r="M3" s="40">
        <v>3.48</v>
      </c>
      <c r="N3" s="40">
        <v>3.63</v>
      </c>
      <c r="O3" s="40">
        <v>3.41</v>
      </c>
      <c r="P3" s="40">
        <v>3.44</v>
      </c>
      <c r="Q3" s="40">
        <v>3.42</v>
      </c>
      <c r="R3" s="40">
        <f t="shared" si="1"/>
        <v>3.272142857</v>
      </c>
      <c r="S3" s="40">
        <f t="shared" si="2"/>
        <v>2.57</v>
      </c>
      <c r="T3" s="40">
        <f t="shared" si="3"/>
        <v>3.42</v>
      </c>
      <c r="U3" s="41">
        <f t="shared" si="4"/>
        <v>0.3307392996</v>
      </c>
      <c r="V3" s="35"/>
      <c r="W3" s="35"/>
      <c r="X3" s="35"/>
      <c r="Y3" s="35"/>
      <c r="Z3" s="35"/>
    </row>
    <row r="4">
      <c r="A4" s="36" t="s">
        <v>21</v>
      </c>
      <c r="B4" s="36" t="s">
        <v>20</v>
      </c>
      <c r="C4" s="36" t="s">
        <v>102</v>
      </c>
      <c r="D4" s="37">
        <v>1.07</v>
      </c>
      <c r="E4" s="37">
        <v>1.91</v>
      </c>
      <c r="F4" s="37">
        <v>1.66</v>
      </c>
      <c r="G4" s="37">
        <v>1.64</v>
      </c>
      <c r="H4" s="37">
        <v>2.18</v>
      </c>
      <c r="I4" s="37">
        <v>2.45</v>
      </c>
      <c r="J4" s="37">
        <v>2.4</v>
      </c>
      <c r="K4" s="37">
        <v>2.3</v>
      </c>
      <c r="L4" s="37">
        <v>2.3</v>
      </c>
      <c r="M4" s="37">
        <v>2.21</v>
      </c>
      <c r="N4" s="37">
        <v>2.31</v>
      </c>
      <c r="O4" s="37">
        <v>2.34</v>
      </c>
      <c r="P4" s="37">
        <v>2.41</v>
      </c>
      <c r="Q4" s="37">
        <v>2.42</v>
      </c>
      <c r="R4" s="37">
        <f t="shared" si="1"/>
        <v>2.114285714</v>
      </c>
      <c r="S4" s="37">
        <f t="shared" si="2"/>
        <v>1.07</v>
      </c>
      <c r="T4" s="37">
        <f t="shared" si="3"/>
        <v>2.42</v>
      </c>
      <c r="U4" s="38">
        <f t="shared" si="4"/>
        <v>1.261682243</v>
      </c>
      <c r="V4" s="35"/>
      <c r="W4" s="35"/>
      <c r="X4" s="35"/>
      <c r="Y4" s="35"/>
      <c r="Z4" s="35"/>
    </row>
    <row r="5">
      <c r="A5" s="39" t="s">
        <v>22</v>
      </c>
      <c r="B5" s="39" t="s">
        <v>20</v>
      </c>
      <c r="C5" s="39" t="s">
        <v>102</v>
      </c>
      <c r="D5" s="40">
        <v>4.09</v>
      </c>
      <c r="E5" s="40">
        <v>4.39</v>
      </c>
      <c r="F5" s="40">
        <v>4.59</v>
      </c>
      <c r="G5" s="40">
        <v>4.57</v>
      </c>
      <c r="H5" s="40">
        <v>5.01</v>
      </c>
      <c r="I5" s="40">
        <v>5.15</v>
      </c>
      <c r="J5" s="40">
        <v>4.47</v>
      </c>
      <c r="K5" s="40">
        <v>4.48</v>
      </c>
      <c r="L5" s="40">
        <v>4.44</v>
      </c>
      <c r="M5" s="40">
        <v>4.5</v>
      </c>
      <c r="N5" s="40">
        <v>4.67</v>
      </c>
      <c r="O5" s="40">
        <v>4.15</v>
      </c>
      <c r="P5" s="40">
        <v>4.47</v>
      </c>
      <c r="Q5" s="40">
        <v>4.44</v>
      </c>
      <c r="R5" s="40">
        <f t="shared" si="1"/>
        <v>4.53</v>
      </c>
      <c r="S5" s="40">
        <f t="shared" si="2"/>
        <v>4.09</v>
      </c>
      <c r="T5" s="40">
        <f t="shared" si="3"/>
        <v>4.44</v>
      </c>
      <c r="U5" s="41">
        <f t="shared" si="4"/>
        <v>0.08557457213</v>
      </c>
      <c r="V5" s="35"/>
      <c r="W5" s="35"/>
      <c r="X5" s="35"/>
      <c r="Y5" s="35"/>
      <c r="Z5" s="35"/>
    </row>
    <row r="6">
      <c r="A6" s="36" t="s">
        <v>23</v>
      </c>
      <c r="B6" s="36" t="s">
        <v>24</v>
      </c>
      <c r="C6" s="36" t="s">
        <v>102</v>
      </c>
      <c r="D6" s="37">
        <v>6.42</v>
      </c>
      <c r="E6" s="37">
        <v>8.31</v>
      </c>
      <c r="F6" s="37">
        <v>8.51</v>
      </c>
      <c r="G6" s="37">
        <v>8.41</v>
      </c>
      <c r="H6" s="37">
        <v>7.23</v>
      </c>
      <c r="I6" s="37">
        <v>9.15</v>
      </c>
      <c r="J6" s="37">
        <v>7.3</v>
      </c>
      <c r="K6" s="37">
        <v>9.32</v>
      </c>
      <c r="L6" s="37">
        <v>7.57</v>
      </c>
      <c r="M6" s="37">
        <v>7.6</v>
      </c>
      <c r="N6" s="37">
        <v>7.59</v>
      </c>
      <c r="O6" s="37">
        <v>6.8</v>
      </c>
      <c r="P6" s="37">
        <v>11.28</v>
      </c>
      <c r="Q6" s="37">
        <v>10.71</v>
      </c>
      <c r="R6" s="37">
        <f t="shared" si="1"/>
        <v>8.3</v>
      </c>
      <c r="S6" s="37">
        <f t="shared" si="2"/>
        <v>6.42</v>
      </c>
      <c r="T6" s="37">
        <f t="shared" si="3"/>
        <v>10.71</v>
      </c>
      <c r="U6" s="38">
        <f t="shared" si="4"/>
        <v>0.6682242991</v>
      </c>
      <c r="V6" s="35"/>
      <c r="W6" s="35"/>
      <c r="X6" s="35"/>
      <c r="Y6" s="35"/>
      <c r="Z6" s="35"/>
    </row>
    <row r="7">
      <c r="A7" s="39" t="s">
        <v>25</v>
      </c>
      <c r="B7" s="39" t="s">
        <v>24</v>
      </c>
      <c r="C7" s="39" t="s">
        <v>102</v>
      </c>
      <c r="D7" s="40">
        <v>2.67</v>
      </c>
      <c r="E7" s="40">
        <v>1.61</v>
      </c>
      <c r="F7" s="40">
        <v>2.87</v>
      </c>
      <c r="G7" s="40">
        <v>2.83</v>
      </c>
      <c r="H7" s="40">
        <v>1.79</v>
      </c>
      <c r="I7" s="40">
        <v>1.86</v>
      </c>
      <c r="J7" s="40">
        <v>1.74</v>
      </c>
      <c r="K7" s="40">
        <v>1.56</v>
      </c>
      <c r="L7" s="40">
        <v>1.62</v>
      </c>
      <c r="M7" s="40">
        <v>1.66</v>
      </c>
      <c r="N7" s="40">
        <v>1.62</v>
      </c>
      <c r="O7" s="40">
        <v>1.65</v>
      </c>
      <c r="P7" s="40">
        <v>1.5</v>
      </c>
      <c r="Q7" s="40">
        <v>1.51</v>
      </c>
      <c r="R7" s="40">
        <f t="shared" si="1"/>
        <v>1.892142857</v>
      </c>
      <c r="S7" s="40">
        <f t="shared" si="2"/>
        <v>2.67</v>
      </c>
      <c r="T7" s="40">
        <f t="shared" si="3"/>
        <v>1.51</v>
      </c>
      <c r="U7" s="41">
        <f t="shared" si="4"/>
        <v>-0.4344569288</v>
      </c>
      <c r="V7" s="35"/>
      <c r="W7" s="35"/>
      <c r="X7" s="35"/>
      <c r="Y7" s="35"/>
      <c r="Z7" s="35"/>
    </row>
    <row r="8">
      <c r="A8" s="36" t="s">
        <v>26</v>
      </c>
      <c r="B8" s="36" t="s">
        <v>24</v>
      </c>
      <c r="C8" s="36" t="s">
        <v>102</v>
      </c>
      <c r="D8" s="37">
        <v>4.59</v>
      </c>
      <c r="E8" s="37">
        <v>4.47</v>
      </c>
      <c r="F8" s="37">
        <v>4.77</v>
      </c>
      <c r="G8" s="37">
        <v>4.77</v>
      </c>
      <c r="H8" s="37">
        <v>4.39</v>
      </c>
      <c r="I8" s="37">
        <v>4.34</v>
      </c>
      <c r="J8" s="37">
        <v>4.06</v>
      </c>
      <c r="K8" s="37">
        <v>4.59</v>
      </c>
      <c r="L8" s="37">
        <v>4.78</v>
      </c>
      <c r="M8" s="37">
        <v>4.63</v>
      </c>
      <c r="N8" s="37">
        <v>4.83</v>
      </c>
      <c r="O8" s="37">
        <v>4.73</v>
      </c>
      <c r="P8" s="37">
        <v>4.93</v>
      </c>
      <c r="Q8" s="37">
        <v>4.9</v>
      </c>
      <c r="R8" s="37">
        <f t="shared" si="1"/>
        <v>4.627142857</v>
      </c>
      <c r="S8" s="37">
        <f t="shared" si="2"/>
        <v>4.59</v>
      </c>
      <c r="T8" s="37">
        <f t="shared" si="3"/>
        <v>4.9</v>
      </c>
      <c r="U8" s="38">
        <f t="shared" si="4"/>
        <v>0.06753812636</v>
      </c>
      <c r="V8" s="35"/>
      <c r="W8" s="35"/>
      <c r="X8" s="35"/>
      <c r="Y8" s="35"/>
      <c r="Z8" s="35"/>
    </row>
    <row r="9">
      <c r="A9" s="39" t="s">
        <v>27</v>
      </c>
      <c r="B9" s="39" t="s">
        <v>28</v>
      </c>
      <c r="C9" s="39" t="s">
        <v>102</v>
      </c>
      <c r="D9" s="40">
        <v>2.99</v>
      </c>
      <c r="E9" s="40">
        <v>2.15</v>
      </c>
      <c r="F9" s="40">
        <v>3.11</v>
      </c>
      <c r="G9" s="40">
        <v>3.09</v>
      </c>
      <c r="H9" s="40">
        <v>2.43</v>
      </c>
      <c r="I9" s="40">
        <v>2.25</v>
      </c>
      <c r="J9" s="40">
        <v>2.58</v>
      </c>
      <c r="K9" s="40">
        <v>2.49</v>
      </c>
      <c r="L9" s="40">
        <v>2.7</v>
      </c>
      <c r="M9" s="40">
        <v>2.42</v>
      </c>
      <c r="N9" s="40">
        <v>2.72</v>
      </c>
      <c r="O9" s="40">
        <v>2.69</v>
      </c>
      <c r="P9" s="40">
        <v>2.84</v>
      </c>
      <c r="Q9" s="40">
        <v>2.85</v>
      </c>
      <c r="R9" s="40">
        <f t="shared" si="1"/>
        <v>2.665</v>
      </c>
      <c r="S9" s="40">
        <f t="shared" si="2"/>
        <v>2.99</v>
      </c>
      <c r="T9" s="40">
        <f t="shared" si="3"/>
        <v>2.85</v>
      </c>
      <c r="U9" s="41">
        <f t="shared" si="4"/>
        <v>-0.04682274247</v>
      </c>
      <c r="V9" s="35"/>
      <c r="W9" s="35"/>
      <c r="X9" s="35"/>
      <c r="Y9" s="35"/>
      <c r="Z9" s="35"/>
    </row>
    <row r="10">
      <c r="A10" s="36" t="s">
        <v>29</v>
      </c>
      <c r="B10" s="36" t="s">
        <v>28</v>
      </c>
      <c r="C10" s="36" t="s">
        <v>102</v>
      </c>
      <c r="D10" s="37">
        <v>2.97</v>
      </c>
      <c r="E10" s="37">
        <v>4.03</v>
      </c>
      <c r="F10" s="37">
        <v>3.11</v>
      </c>
      <c r="G10" s="37">
        <v>3.07</v>
      </c>
      <c r="H10" s="37">
        <v>4.04</v>
      </c>
      <c r="I10" s="37">
        <v>3.75</v>
      </c>
      <c r="J10" s="37">
        <v>3.75</v>
      </c>
      <c r="K10" s="37">
        <v>3.82</v>
      </c>
      <c r="L10" s="37">
        <v>3.34</v>
      </c>
      <c r="M10" s="37">
        <v>3.6</v>
      </c>
      <c r="N10" s="37">
        <v>3.83</v>
      </c>
      <c r="O10" s="37">
        <v>3.77</v>
      </c>
      <c r="P10" s="37">
        <v>3.46</v>
      </c>
      <c r="Q10" s="37">
        <v>3.49</v>
      </c>
      <c r="R10" s="37">
        <f t="shared" si="1"/>
        <v>3.573571429</v>
      </c>
      <c r="S10" s="37">
        <f t="shared" si="2"/>
        <v>2.97</v>
      </c>
      <c r="T10" s="37">
        <f t="shared" si="3"/>
        <v>3.49</v>
      </c>
      <c r="U10" s="38">
        <f t="shared" si="4"/>
        <v>0.1750841751</v>
      </c>
      <c r="V10" s="35"/>
      <c r="W10" s="35"/>
      <c r="X10" s="35"/>
      <c r="Y10" s="35"/>
      <c r="Z10" s="35"/>
    </row>
    <row r="11">
      <c r="A11" s="39" t="s">
        <v>30</v>
      </c>
      <c r="B11" s="39" t="s">
        <v>28</v>
      </c>
      <c r="C11" s="39" t="s">
        <v>102</v>
      </c>
      <c r="D11" s="40">
        <v>11.29</v>
      </c>
      <c r="E11" s="40">
        <v>5.48</v>
      </c>
      <c r="F11" s="40">
        <v>8.31</v>
      </c>
      <c r="G11" s="40">
        <v>8.29</v>
      </c>
      <c r="H11" s="40">
        <v>6.12</v>
      </c>
      <c r="I11" s="40">
        <v>6.33</v>
      </c>
      <c r="J11" s="40">
        <v>6.07</v>
      </c>
      <c r="K11" s="40">
        <v>5.29</v>
      </c>
      <c r="L11" s="40">
        <v>4.94</v>
      </c>
      <c r="M11" s="40">
        <v>5.64</v>
      </c>
      <c r="N11" s="40">
        <v>5.72</v>
      </c>
      <c r="O11" s="40">
        <v>6.33</v>
      </c>
      <c r="P11" s="40">
        <v>5.84</v>
      </c>
      <c r="Q11" s="40">
        <v>5.83</v>
      </c>
      <c r="R11" s="40">
        <f t="shared" si="1"/>
        <v>6.534285714</v>
      </c>
      <c r="S11" s="40">
        <f t="shared" si="2"/>
        <v>11.29</v>
      </c>
      <c r="T11" s="40">
        <f t="shared" si="3"/>
        <v>5.83</v>
      </c>
      <c r="U11" s="41">
        <f t="shared" si="4"/>
        <v>-0.4836138175</v>
      </c>
      <c r="V11" s="35"/>
      <c r="W11" s="35"/>
      <c r="X11" s="35"/>
      <c r="Y11" s="35"/>
      <c r="Z11" s="35"/>
    </row>
    <row r="12">
      <c r="A12" s="36" t="s">
        <v>31</v>
      </c>
      <c r="B12" s="36" t="s">
        <v>28</v>
      </c>
      <c r="C12" s="36" t="s">
        <v>102</v>
      </c>
      <c r="D12" s="37">
        <v>1.94</v>
      </c>
      <c r="E12" s="37">
        <v>2.24</v>
      </c>
      <c r="F12" s="37">
        <v>2.37</v>
      </c>
      <c r="G12" s="37">
        <v>2.35</v>
      </c>
      <c r="H12" s="37">
        <v>2.21</v>
      </c>
      <c r="I12" s="37">
        <v>2.53</v>
      </c>
      <c r="J12" s="37">
        <v>1.99</v>
      </c>
      <c r="K12" s="37">
        <v>2.07</v>
      </c>
      <c r="L12" s="37">
        <v>2.0</v>
      </c>
      <c r="M12" s="37">
        <v>2.01</v>
      </c>
      <c r="N12" s="37">
        <v>2.14</v>
      </c>
      <c r="O12" s="37">
        <v>2.13</v>
      </c>
      <c r="P12" s="37">
        <v>2.3</v>
      </c>
      <c r="Q12" s="37">
        <v>2.3</v>
      </c>
      <c r="R12" s="37">
        <f t="shared" si="1"/>
        <v>2.184285714</v>
      </c>
      <c r="S12" s="37">
        <f t="shared" si="2"/>
        <v>1.94</v>
      </c>
      <c r="T12" s="37">
        <f t="shared" si="3"/>
        <v>2.3</v>
      </c>
      <c r="U12" s="38">
        <f t="shared" si="4"/>
        <v>0.1855670103</v>
      </c>
      <c r="V12" s="35"/>
      <c r="W12" s="35"/>
      <c r="X12" s="35"/>
      <c r="Y12" s="35"/>
      <c r="Z12" s="35"/>
    </row>
    <row r="13">
      <c r="A13" s="39" t="s">
        <v>32</v>
      </c>
      <c r="B13" s="39" t="s">
        <v>33</v>
      </c>
      <c r="C13" s="39" t="s">
        <v>102</v>
      </c>
      <c r="D13" s="40">
        <v>4.51</v>
      </c>
      <c r="E13" s="40">
        <v>4.46</v>
      </c>
      <c r="F13" s="40">
        <v>4.87</v>
      </c>
      <c r="G13" s="40">
        <v>4.85</v>
      </c>
      <c r="H13" s="40">
        <v>7.84</v>
      </c>
      <c r="I13" s="40">
        <v>7.72</v>
      </c>
      <c r="J13" s="40">
        <v>6.73</v>
      </c>
      <c r="K13" s="40">
        <v>9.43</v>
      </c>
      <c r="L13" s="40">
        <v>9.84</v>
      </c>
      <c r="M13" s="40">
        <v>9.73</v>
      </c>
      <c r="N13" s="40">
        <v>9.62</v>
      </c>
      <c r="O13" s="40">
        <v>9.85</v>
      </c>
      <c r="P13" s="40">
        <v>10.01</v>
      </c>
      <c r="Q13" s="40">
        <v>9.91</v>
      </c>
      <c r="R13" s="40">
        <f t="shared" si="1"/>
        <v>7.812142857</v>
      </c>
      <c r="S13" s="40">
        <f t="shared" si="2"/>
        <v>4.51</v>
      </c>
      <c r="T13" s="40">
        <f t="shared" si="3"/>
        <v>9.91</v>
      </c>
      <c r="U13" s="41">
        <f t="shared" si="4"/>
        <v>1.197339246</v>
      </c>
      <c r="V13" s="35"/>
      <c r="W13" s="35"/>
      <c r="X13" s="35"/>
      <c r="Y13" s="35"/>
      <c r="Z13" s="35"/>
    </row>
    <row r="14">
      <c r="A14" s="36" t="s">
        <v>34</v>
      </c>
      <c r="B14" s="36" t="s">
        <v>33</v>
      </c>
      <c r="C14" s="36" t="s">
        <v>102</v>
      </c>
      <c r="D14" s="37">
        <v>3.69</v>
      </c>
      <c r="E14" s="37">
        <v>2.79</v>
      </c>
      <c r="F14" s="37">
        <v>3.71</v>
      </c>
      <c r="G14" s="37">
        <v>3.71</v>
      </c>
      <c r="H14" s="37">
        <v>4.99</v>
      </c>
      <c r="I14" s="37">
        <v>4.92</v>
      </c>
      <c r="J14" s="37">
        <v>4.51</v>
      </c>
      <c r="K14" s="37">
        <v>4.59</v>
      </c>
      <c r="L14" s="37">
        <v>4.85</v>
      </c>
      <c r="M14" s="37">
        <v>4.58</v>
      </c>
      <c r="N14" s="37">
        <v>4.59</v>
      </c>
      <c r="O14" s="37">
        <v>4.47</v>
      </c>
      <c r="P14" s="37">
        <v>5.8</v>
      </c>
      <c r="Q14" s="37">
        <v>5.51</v>
      </c>
      <c r="R14" s="37">
        <f t="shared" si="1"/>
        <v>4.479285714</v>
      </c>
      <c r="S14" s="37">
        <f t="shared" si="2"/>
        <v>3.69</v>
      </c>
      <c r="T14" s="37">
        <f t="shared" si="3"/>
        <v>5.51</v>
      </c>
      <c r="U14" s="38">
        <f t="shared" si="4"/>
        <v>0.4932249322</v>
      </c>
      <c r="V14" s="35"/>
      <c r="W14" s="35"/>
      <c r="X14" s="35"/>
      <c r="Y14" s="35"/>
      <c r="Z14" s="35"/>
    </row>
    <row r="15">
      <c r="A15" s="39" t="s">
        <v>35</v>
      </c>
      <c r="B15" s="39" t="s">
        <v>33</v>
      </c>
      <c r="C15" s="39" t="s">
        <v>102</v>
      </c>
      <c r="D15" s="40">
        <v>5.28</v>
      </c>
      <c r="E15" s="40">
        <v>5.39</v>
      </c>
      <c r="F15" s="40">
        <v>4.99</v>
      </c>
      <c r="G15" s="40">
        <v>4.93</v>
      </c>
      <c r="H15" s="40">
        <v>5.09</v>
      </c>
      <c r="I15" s="40">
        <v>4.41</v>
      </c>
      <c r="J15" s="40">
        <v>4.81</v>
      </c>
      <c r="K15" s="40">
        <v>5.01</v>
      </c>
      <c r="L15" s="40">
        <v>5.24</v>
      </c>
      <c r="M15" s="40">
        <v>5.14</v>
      </c>
      <c r="N15" s="40">
        <v>5.24</v>
      </c>
      <c r="O15" s="40">
        <v>5.03</v>
      </c>
      <c r="P15" s="40">
        <v>5.27</v>
      </c>
      <c r="Q15" s="40">
        <v>5.21</v>
      </c>
      <c r="R15" s="40">
        <f t="shared" si="1"/>
        <v>5.074285714</v>
      </c>
      <c r="S15" s="40">
        <f t="shared" si="2"/>
        <v>5.28</v>
      </c>
      <c r="T15" s="40">
        <f t="shared" si="3"/>
        <v>5.21</v>
      </c>
      <c r="U15" s="41">
        <f t="shared" si="4"/>
        <v>-0.01325757576</v>
      </c>
      <c r="V15" s="35"/>
      <c r="W15" s="35"/>
      <c r="X15" s="35"/>
      <c r="Y15" s="35"/>
      <c r="Z15" s="35"/>
    </row>
    <row r="16">
      <c r="A16" s="36" t="s">
        <v>36</v>
      </c>
      <c r="B16" s="36" t="s">
        <v>33</v>
      </c>
      <c r="C16" s="36" t="s">
        <v>102</v>
      </c>
      <c r="D16" s="37">
        <v>4.32</v>
      </c>
      <c r="E16" s="37">
        <v>3.42</v>
      </c>
      <c r="F16" s="37">
        <v>4.45</v>
      </c>
      <c r="G16" s="37">
        <v>4.43</v>
      </c>
      <c r="H16" s="37">
        <v>4.14</v>
      </c>
      <c r="I16" s="37">
        <v>3.88</v>
      </c>
      <c r="J16" s="37">
        <v>4.8</v>
      </c>
      <c r="K16" s="37">
        <v>3.99</v>
      </c>
      <c r="L16" s="37">
        <v>4.09</v>
      </c>
      <c r="M16" s="37">
        <v>4.3</v>
      </c>
      <c r="N16" s="37">
        <v>4.11</v>
      </c>
      <c r="O16" s="37">
        <v>4.15</v>
      </c>
      <c r="P16" s="37">
        <v>4.06</v>
      </c>
      <c r="Q16" s="37">
        <v>4.05</v>
      </c>
      <c r="R16" s="37">
        <f t="shared" si="1"/>
        <v>4.156428571</v>
      </c>
      <c r="S16" s="37">
        <f t="shared" si="2"/>
        <v>4.32</v>
      </c>
      <c r="T16" s="37">
        <f t="shared" si="3"/>
        <v>4.05</v>
      </c>
      <c r="U16" s="38">
        <f t="shared" si="4"/>
        <v>-0.0625</v>
      </c>
      <c r="V16" s="35"/>
      <c r="W16" s="35"/>
      <c r="X16" s="35"/>
      <c r="Y16" s="35"/>
      <c r="Z16" s="35"/>
    </row>
    <row r="17">
      <c r="A17" s="39" t="s">
        <v>37</v>
      </c>
      <c r="B17" s="39" t="s">
        <v>33</v>
      </c>
      <c r="C17" s="39" t="s">
        <v>102</v>
      </c>
      <c r="D17" s="40">
        <v>2.06</v>
      </c>
      <c r="E17" s="40">
        <v>1.51</v>
      </c>
      <c r="F17" s="40">
        <v>1.98</v>
      </c>
      <c r="G17" s="40">
        <v>1.97</v>
      </c>
      <c r="H17" s="40">
        <v>1.8</v>
      </c>
      <c r="I17" s="40">
        <v>1.53</v>
      </c>
      <c r="J17" s="40">
        <v>1.76</v>
      </c>
      <c r="K17" s="40">
        <v>1.61</v>
      </c>
      <c r="L17" s="40">
        <v>1.5</v>
      </c>
      <c r="M17" s="40">
        <v>1.49</v>
      </c>
      <c r="N17" s="40">
        <v>1.57</v>
      </c>
      <c r="O17" s="40">
        <v>1.93</v>
      </c>
      <c r="P17" s="40">
        <v>2.36</v>
      </c>
      <c r="Q17" s="40">
        <v>2.35</v>
      </c>
      <c r="R17" s="40">
        <f t="shared" si="1"/>
        <v>1.815714286</v>
      </c>
      <c r="S17" s="40">
        <f t="shared" si="2"/>
        <v>2.06</v>
      </c>
      <c r="T17" s="40">
        <f t="shared" si="3"/>
        <v>2.35</v>
      </c>
      <c r="U17" s="41">
        <f t="shared" si="4"/>
        <v>0.140776699</v>
      </c>
      <c r="V17" s="35"/>
      <c r="W17" s="35"/>
      <c r="X17" s="35"/>
      <c r="Y17" s="35"/>
      <c r="Z17" s="35"/>
    </row>
    <row r="18">
      <c r="A18" s="36" t="s">
        <v>38</v>
      </c>
      <c r="B18" s="36" t="s">
        <v>39</v>
      </c>
      <c r="C18" s="36" t="s">
        <v>102</v>
      </c>
      <c r="D18" s="37">
        <v>4.34</v>
      </c>
      <c r="E18" s="37">
        <v>3.38</v>
      </c>
      <c r="F18" s="37">
        <v>4.39</v>
      </c>
      <c r="G18" s="37">
        <v>4.35</v>
      </c>
      <c r="H18" s="37">
        <v>4.88</v>
      </c>
      <c r="I18" s="37">
        <v>4.08</v>
      </c>
      <c r="J18" s="37">
        <v>4.06</v>
      </c>
      <c r="K18" s="37">
        <v>3.31</v>
      </c>
      <c r="L18" s="37">
        <v>4.26</v>
      </c>
      <c r="M18" s="37">
        <v>3.75</v>
      </c>
      <c r="N18" s="37">
        <v>3.76</v>
      </c>
      <c r="O18" s="37">
        <v>3.68</v>
      </c>
      <c r="P18" s="37">
        <v>3.59</v>
      </c>
      <c r="Q18" s="37">
        <v>3.55</v>
      </c>
      <c r="R18" s="37">
        <f t="shared" si="1"/>
        <v>3.955714286</v>
      </c>
      <c r="S18" s="37">
        <f t="shared" si="2"/>
        <v>4.34</v>
      </c>
      <c r="T18" s="37">
        <f t="shared" si="3"/>
        <v>3.55</v>
      </c>
      <c r="U18" s="38">
        <f t="shared" si="4"/>
        <v>-0.1820276498</v>
      </c>
      <c r="V18" s="35"/>
      <c r="W18" s="35"/>
      <c r="X18" s="35"/>
      <c r="Y18" s="35"/>
      <c r="Z18" s="35"/>
    </row>
    <row r="19">
      <c r="A19" s="39" t="s">
        <v>40</v>
      </c>
      <c r="B19" s="39" t="s">
        <v>41</v>
      </c>
      <c r="C19" s="39" t="s">
        <v>102</v>
      </c>
      <c r="D19" s="40">
        <v>3.07</v>
      </c>
      <c r="E19" s="40">
        <v>1.84</v>
      </c>
      <c r="F19" s="40">
        <v>3.49</v>
      </c>
      <c r="G19" s="40">
        <v>3.41</v>
      </c>
      <c r="H19" s="40">
        <v>2.42</v>
      </c>
      <c r="I19" s="40">
        <v>2.59</v>
      </c>
      <c r="J19" s="40">
        <v>2.46</v>
      </c>
      <c r="K19" s="40">
        <v>2.46</v>
      </c>
      <c r="L19" s="40">
        <v>2.43</v>
      </c>
      <c r="M19" s="40">
        <v>2.54</v>
      </c>
      <c r="N19" s="40">
        <v>2.56</v>
      </c>
      <c r="O19" s="40">
        <v>2.68</v>
      </c>
      <c r="P19" s="40">
        <v>2.59</v>
      </c>
      <c r="Q19" s="40">
        <v>2.58</v>
      </c>
      <c r="R19" s="40">
        <f t="shared" si="1"/>
        <v>2.651428571</v>
      </c>
      <c r="S19" s="40">
        <f t="shared" si="2"/>
        <v>3.07</v>
      </c>
      <c r="T19" s="40">
        <f t="shared" si="3"/>
        <v>2.58</v>
      </c>
      <c r="U19" s="41">
        <f t="shared" si="4"/>
        <v>-0.1596091205</v>
      </c>
      <c r="V19" s="35"/>
      <c r="W19" s="35"/>
      <c r="X19" s="35"/>
      <c r="Y19" s="35"/>
      <c r="Z19" s="35"/>
    </row>
    <row r="20">
      <c r="A20" s="36" t="s">
        <v>42</v>
      </c>
      <c r="B20" s="36" t="s">
        <v>41</v>
      </c>
      <c r="C20" s="36" t="s">
        <v>102</v>
      </c>
      <c r="D20" s="37">
        <v>0.62</v>
      </c>
      <c r="E20" s="37">
        <v>0.88</v>
      </c>
      <c r="F20" s="37">
        <v>1.1</v>
      </c>
      <c r="G20" s="37">
        <v>1.09</v>
      </c>
      <c r="H20" s="37">
        <v>1.36</v>
      </c>
      <c r="I20" s="37">
        <v>1.29</v>
      </c>
      <c r="J20" s="37">
        <v>1.08</v>
      </c>
      <c r="K20" s="37">
        <v>0.91</v>
      </c>
      <c r="L20" s="37">
        <v>0.85</v>
      </c>
      <c r="M20" s="37">
        <v>0.8</v>
      </c>
      <c r="N20" s="37">
        <v>0.84</v>
      </c>
      <c r="O20" s="37">
        <v>0.78</v>
      </c>
      <c r="P20" s="37">
        <v>0.67</v>
      </c>
      <c r="Q20" s="37">
        <v>0.67</v>
      </c>
      <c r="R20" s="37">
        <f t="shared" si="1"/>
        <v>0.9242857143</v>
      </c>
      <c r="S20" s="37">
        <f t="shared" si="2"/>
        <v>0.62</v>
      </c>
      <c r="T20" s="37">
        <f t="shared" si="3"/>
        <v>0.67</v>
      </c>
      <c r="U20" s="38">
        <f t="shared" si="4"/>
        <v>0.08064516129</v>
      </c>
      <c r="V20" s="35"/>
      <c r="W20" s="35"/>
      <c r="X20" s="35"/>
      <c r="Y20" s="35"/>
      <c r="Z20" s="35"/>
    </row>
    <row r="21">
      <c r="A21" s="39" t="s">
        <v>43</v>
      </c>
      <c r="B21" s="39" t="s">
        <v>41</v>
      </c>
      <c r="C21" s="39" t="s">
        <v>102</v>
      </c>
      <c r="D21" s="40">
        <v>1.68</v>
      </c>
      <c r="E21" s="40">
        <v>1.94</v>
      </c>
      <c r="F21" s="40">
        <v>1.66</v>
      </c>
      <c r="G21" s="40">
        <v>1.63</v>
      </c>
      <c r="H21" s="40">
        <v>2.67</v>
      </c>
      <c r="I21" s="40">
        <v>2.15</v>
      </c>
      <c r="J21" s="40">
        <v>2.47</v>
      </c>
      <c r="K21" s="40">
        <v>2.54</v>
      </c>
      <c r="L21" s="40">
        <v>3.31</v>
      </c>
      <c r="M21" s="40">
        <v>2.72</v>
      </c>
      <c r="N21" s="40">
        <v>2.51</v>
      </c>
      <c r="O21" s="40">
        <v>2.23</v>
      </c>
      <c r="P21" s="40">
        <v>2.86</v>
      </c>
      <c r="Q21" s="40">
        <v>2.89</v>
      </c>
      <c r="R21" s="40">
        <f t="shared" si="1"/>
        <v>2.375714286</v>
      </c>
      <c r="S21" s="40">
        <f t="shared" si="2"/>
        <v>1.68</v>
      </c>
      <c r="T21" s="40">
        <f t="shared" si="3"/>
        <v>2.89</v>
      </c>
      <c r="U21" s="41">
        <f t="shared" si="4"/>
        <v>0.7202380952</v>
      </c>
      <c r="V21" s="35"/>
      <c r="W21" s="35"/>
      <c r="X21" s="35"/>
      <c r="Y21" s="35"/>
      <c r="Z21" s="35"/>
    </row>
    <row r="22">
      <c r="A22" s="36" t="s">
        <v>44</v>
      </c>
      <c r="B22" s="36" t="s">
        <v>45</v>
      </c>
      <c r="C22" s="36" t="s">
        <v>102</v>
      </c>
      <c r="D22" s="37">
        <v>2.15</v>
      </c>
      <c r="E22" s="37">
        <v>2.9</v>
      </c>
      <c r="F22" s="37">
        <v>2.75</v>
      </c>
      <c r="G22" s="37">
        <v>2.72</v>
      </c>
      <c r="H22" s="37">
        <v>5.12</v>
      </c>
      <c r="I22" s="37">
        <v>4.97</v>
      </c>
      <c r="J22" s="37">
        <v>4.62</v>
      </c>
      <c r="K22" s="37">
        <v>4.35</v>
      </c>
      <c r="L22" s="37">
        <v>3.82</v>
      </c>
      <c r="M22" s="37">
        <v>4.01</v>
      </c>
      <c r="N22" s="37">
        <v>3.96</v>
      </c>
      <c r="O22" s="37">
        <v>3.64</v>
      </c>
      <c r="P22" s="37">
        <v>3.16</v>
      </c>
      <c r="Q22" s="37">
        <v>3.14</v>
      </c>
      <c r="R22" s="37">
        <f t="shared" si="1"/>
        <v>3.665</v>
      </c>
      <c r="S22" s="37">
        <f t="shared" si="2"/>
        <v>2.15</v>
      </c>
      <c r="T22" s="37">
        <f t="shared" si="3"/>
        <v>3.14</v>
      </c>
      <c r="U22" s="38">
        <f t="shared" si="4"/>
        <v>0.4604651163</v>
      </c>
      <c r="V22" s="35"/>
      <c r="W22" s="35"/>
      <c r="X22" s="35"/>
      <c r="Y22" s="35"/>
      <c r="Z22" s="35"/>
    </row>
    <row r="23">
      <c r="A23" s="39" t="s">
        <v>46</v>
      </c>
      <c r="B23" s="39" t="s">
        <v>45</v>
      </c>
      <c r="C23" s="39" t="s">
        <v>102</v>
      </c>
      <c r="D23" s="40">
        <v>1.92</v>
      </c>
      <c r="E23" s="40">
        <v>1.94</v>
      </c>
      <c r="F23" s="40">
        <v>1.99</v>
      </c>
      <c r="G23" s="40">
        <v>1.97</v>
      </c>
      <c r="H23" s="40">
        <v>1.93</v>
      </c>
      <c r="I23" s="40">
        <v>2.03</v>
      </c>
      <c r="J23" s="40">
        <v>2.02</v>
      </c>
      <c r="K23" s="40">
        <v>1.96</v>
      </c>
      <c r="L23" s="40">
        <v>1.95</v>
      </c>
      <c r="M23" s="40">
        <v>1.99</v>
      </c>
      <c r="N23" s="40">
        <v>1.98</v>
      </c>
      <c r="O23" s="40">
        <v>1.96</v>
      </c>
      <c r="P23" s="40">
        <v>1.9</v>
      </c>
      <c r="Q23" s="40">
        <v>1.9</v>
      </c>
      <c r="R23" s="40">
        <f t="shared" si="1"/>
        <v>1.96</v>
      </c>
      <c r="S23" s="40">
        <f t="shared" si="2"/>
        <v>1.92</v>
      </c>
      <c r="T23" s="40">
        <f t="shared" si="3"/>
        <v>1.9</v>
      </c>
      <c r="U23" s="41">
        <f t="shared" si="4"/>
        <v>-0.01041666667</v>
      </c>
      <c r="V23" s="35"/>
      <c r="W23" s="35"/>
      <c r="X23" s="35"/>
      <c r="Y23" s="35"/>
      <c r="Z23" s="35"/>
    </row>
    <row r="24">
      <c r="A24" s="36" t="s">
        <v>47</v>
      </c>
      <c r="B24" s="36" t="s">
        <v>45</v>
      </c>
      <c r="C24" s="36" t="s">
        <v>102</v>
      </c>
      <c r="D24" s="37">
        <v>3.62</v>
      </c>
      <c r="E24" s="37">
        <v>3.62</v>
      </c>
      <c r="F24" s="37">
        <v>4.21</v>
      </c>
      <c r="G24" s="37">
        <v>4.17</v>
      </c>
      <c r="H24" s="37">
        <v>4.54</v>
      </c>
      <c r="I24" s="37">
        <v>4.26</v>
      </c>
      <c r="J24" s="37">
        <v>4.97</v>
      </c>
      <c r="K24" s="37">
        <v>4.99</v>
      </c>
      <c r="L24" s="37">
        <v>5.52</v>
      </c>
      <c r="M24" s="37">
        <v>4.62</v>
      </c>
      <c r="N24" s="37">
        <v>4.91</v>
      </c>
      <c r="O24" s="37">
        <v>4.65</v>
      </c>
      <c r="P24" s="37">
        <v>4.85</v>
      </c>
      <c r="Q24" s="37">
        <v>4.81</v>
      </c>
      <c r="R24" s="37">
        <f t="shared" si="1"/>
        <v>4.552857143</v>
      </c>
      <c r="S24" s="37">
        <f t="shared" si="2"/>
        <v>3.62</v>
      </c>
      <c r="T24" s="37">
        <f t="shared" si="3"/>
        <v>4.81</v>
      </c>
      <c r="U24" s="38">
        <f t="shared" si="4"/>
        <v>0.3287292818</v>
      </c>
      <c r="V24" s="35"/>
      <c r="W24" s="35"/>
      <c r="X24" s="35"/>
      <c r="Y24" s="35"/>
      <c r="Z24" s="35"/>
    </row>
    <row r="25">
      <c r="A25" s="39" t="s">
        <v>48</v>
      </c>
      <c r="B25" s="39" t="s">
        <v>49</v>
      </c>
      <c r="C25" s="39" t="s">
        <v>102</v>
      </c>
      <c r="D25" s="40">
        <v>5.21</v>
      </c>
      <c r="E25" s="40">
        <v>6.46</v>
      </c>
      <c r="F25" s="40">
        <v>5.69</v>
      </c>
      <c r="G25" s="40">
        <v>5.67</v>
      </c>
      <c r="H25" s="40">
        <v>5.99</v>
      </c>
      <c r="I25" s="40">
        <v>5.99</v>
      </c>
      <c r="J25" s="40">
        <v>6.62</v>
      </c>
      <c r="K25" s="40">
        <v>7.01</v>
      </c>
      <c r="L25" s="40">
        <v>6.71</v>
      </c>
      <c r="M25" s="40">
        <v>6.55</v>
      </c>
      <c r="N25" s="40">
        <v>6.53</v>
      </c>
      <c r="O25" s="40">
        <v>6.4</v>
      </c>
      <c r="P25" s="40">
        <v>6.35</v>
      </c>
      <c r="Q25" s="40">
        <v>6.29</v>
      </c>
      <c r="R25" s="40">
        <f t="shared" si="1"/>
        <v>6.247857143</v>
      </c>
      <c r="S25" s="40">
        <f t="shared" si="2"/>
        <v>5.21</v>
      </c>
      <c r="T25" s="40">
        <f t="shared" si="3"/>
        <v>6.29</v>
      </c>
      <c r="U25" s="41">
        <f t="shared" si="4"/>
        <v>0.207293666</v>
      </c>
      <c r="V25" s="35"/>
      <c r="W25" s="35"/>
      <c r="X25" s="35"/>
      <c r="Y25" s="35"/>
      <c r="Z25" s="35"/>
    </row>
    <row r="26">
      <c r="A26" s="36" t="s">
        <v>50</v>
      </c>
      <c r="B26" s="36" t="s">
        <v>49</v>
      </c>
      <c r="C26" s="36" t="s">
        <v>102</v>
      </c>
      <c r="D26" s="37">
        <v>6.64</v>
      </c>
      <c r="E26" s="37">
        <v>6.24</v>
      </c>
      <c r="F26" s="37">
        <v>7.01</v>
      </c>
      <c r="G26" s="37">
        <v>6.97</v>
      </c>
      <c r="H26" s="37">
        <v>7.57</v>
      </c>
      <c r="I26" s="37">
        <v>7.41</v>
      </c>
      <c r="J26" s="37">
        <v>8.4</v>
      </c>
      <c r="K26" s="37">
        <v>8.61</v>
      </c>
      <c r="L26" s="37">
        <v>7.67</v>
      </c>
      <c r="M26" s="37">
        <v>7.42</v>
      </c>
      <c r="N26" s="37">
        <v>7.46</v>
      </c>
      <c r="O26" s="37">
        <v>7.62</v>
      </c>
      <c r="P26" s="37">
        <v>8.04</v>
      </c>
      <c r="Q26" s="37">
        <v>7.98</v>
      </c>
      <c r="R26" s="37">
        <f t="shared" si="1"/>
        <v>7.502857143</v>
      </c>
      <c r="S26" s="37">
        <f t="shared" si="2"/>
        <v>6.64</v>
      </c>
      <c r="T26" s="37">
        <f t="shared" si="3"/>
        <v>7.98</v>
      </c>
      <c r="U26" s="38">
        <f t="shared" si="4"/>
        <v>0.2018072289</v>
      </c>
      <c r="V26" s="35"/>
      <c r="W26" s="35"/>
      <c r="X26" s="35"/>
      <c r="Y26" s="35"/>
      <c r="Z26" s="35"/>
    </row>
    <row r="27">
      <c r="A27" s="39" t="s">
        <v>51</v>
      </c>
      <c r="B27" s="39" t="s">
        <v>52</v>
      </c>
      <c r="C27" s="39" t="s">
        <v>102</v>
      </c>
      <c r="D27" s="40">
        <v>2.65</v>
      </c>
      <c r="E27" s="40">
        <v>2.29</v>
      </c>
      <c r="F27" s="40">
        <v>2.73</v>
      </c>
      <c r="G27" s="40">
        <v>2.71</v>
      </c>
      <c r="H27" s="40">
        <v>2.09</v>
      </c>
      <c r="I27" s="40">
        <v>2.26</v>
      </c>
      <c r="J27" s="40">
        <v>2.31</v>
      </c>
      <c r="K27" s="40">
        <v>2.06</v>
      </c>
      <c r="L27" s="40">
        <v>2.01</v>
      </c>
      <c r="M27" s="40">
        <v>1.99</v>
      </c>
      <c r="N27" s="40">
        <v>2.17</v>
      </c>
      <c r="O27" s="40">
        <v>2.12</v>
      </c>
      <c r="P27" s="40">
        <v>1.96</v>
      </c>
      <c r="Q27" s="40">
        <v>1.97</v>
      </c>
      <c r="R27" s="40">
        <f t="shared" si="1"/>
        <v>2.237142857</v>
      </c>
      <c r="S27" s="40">
        <f t="shared" si="2"/>
        <v>2.65</v>
      </c>
      <c r="T27" s="40">
        <f t="shared" si="3"/>
        <v>1.97</v>
      </c>
      <c r="U27" s="41">
        <f t="shared" si="4"/>
        <v>-0.2566037736</v>
      </c>
      <c r="V27" s="35"/>
      <c r="W27" s="35"/>
      <c r="X27" s="35"/>
      <c r="Y27" s="35"/>
      <c r="Z27" s="35"/>
    </row>
    <row r="28">
      <c r="A28" s="36" t="s">
        <v>53</v>
      </c>
      <c r="B28" s="36" t="s">
        <v>54</v>
      </c>
      <c r="C28" s="36" t="s">
        <v>102</v>
      </c>
      <c r="D28" s="37">
        <v>3.19</v>
      </c>
      <c r="E28" s="37">
        <v>2.96</v>
      </c>
      <c r="F28" s="37">
        <v>3.97</v>
      </c>
      <c r="G28" s="37">
        <v>3.95</v>
      </c>
      <c r="H28" s="37">
        <v>3.22</v>
      </c>
      <c r="I28" s="37">
        <v>3.14</v>
      </c>
      <c r="J28" s="37">
        <v>3.0</v>
      </c>
      <c r="K28" s="37">
        <v>2.83</v>
      </c>
      <c r="L28" s="37">
        <v>2.89</v>
      </c>
      <c r="M28" s="37">
        <v>3.13</v>
      </c>
      <c r="N28" s="37">
        <v>2.94</v>
      </c>
      <c r="O28" s="37">
        <v>2.99</v>
      </c>
      <c r="P28" s="37">
        <v>3.05</v>
      </c>
      <c r="Q28" s="37">
        <v>3.05</v>
      </c>
      <c r="R28" s="37">
        <f t="shared" si="1"/>
        <v>3.165</v>
      </c>
      <c r="S28" s="37">
        <f t="shared" si="2"/>
        <v>3.19</v>
      </c>
      <c r="T28" s="37">
        <f t="shared" si="3"/>
        <v>3.05</v>
      </c>
      <c r="U28" s="38">
        <f t="shared" si="4"/>
        <v>-0.04388714734</v>
      </c>
      <c r="V28" s="35"/>
      <c r="W28" s="35"/>
      <c r="X28" s="35"/>
      <c r="Y28" s="35"/>
      <c r="Z28" s="35"/>
    </row>
    <row r="29">
      <c r="A29" s="39" t="s">
        <v>55</v>
      </c>
      <c r="B29" s="39" t="s">
        <v>54</v>
      </c>
      <c r="C29" s="39" t="s">
        <v>102</v>
      </c>
      <c r="D29" s="40">
        <v>0.77</v>
      </c>
      <c r="E29" s="40">
        <v>0.77</v>
      </c>
      <c r="F29" s="40">
        <v>0.92</v>
      </c>
      <c r="G29" s="40">
        <v>0.91</v>
      </c>
      <c r="H29" s="40">
        <v>1.42</v>
      </c>
      <c r="I29" s="40">
        <v>1.49</v>
      </c>
      <c r="J29" s="40">
        <v>1.78</v>
      </c>
      <c r="K29" s="40">
        <v>2.36</v>
      </c>
      <c r="L29" s="40">
        <v>2.38</v>
      </c>
      <c r="M29" s="40">
        <v>2.47</v>
      </c>
      <c r="N29" s="40">
        <v>2.49</v>
      </c>
      <c r="O29" s="40">
        <v>2.1</v>
      </c>
      <c r="P29" s="40">
        <v>1.68</v>
      </c>
      <c r="Q29" s="40">
        <v>1.7</v>
      </c>
      <c r="R29" s="40">
        <f t="shared" si="1"/>
        <v>1.66</v>
      </c>
      <c r="S29" s="40">
        <f t="shared" si="2"/>
        <v>0.77</v>
      </c>
      <c r="T29" s="40">
        <f t="shared" si="3"/>
        <v>1.7</v>
      </c>
      <c r="U29" s="41">
        <f t="shared" si="4"/>
        <v>1.207792208</v>
      </c>
      <c r="V29" s="35"/>
      <c r="W29" s="35"/>
      <c r="X29" s="35"/>
      <c r="Y29" s="35"/>
      <c r="Z29" s="35"/>
    </row>
    <row r="30">
      <c r="A30" s="36" t="s">
        <v>56</v>
      </c>
      <c r="B30" s="36" t="s">
        <v>54</v>
      </c>
      <c r="C30" s="36" t="s">
        <v>102</v>
      </c>
      <c r="D30" s="37">
        <v>1.77</v>
      </c>
      <c r="E30" s="37">
        <v>1.76</v>
      </c>
      <c r="F30" s="37">
        <v>1.83</v>
      </c>
      <c r="G30" s="37">
        <v>1.79</v>
      </c>
      <c r="H30" s="37">
        <v>1.85</v>
      </c>
      <c r="I30" s="37">
        <v>1.77</v>
      </c>
      <c r="J30" s="37">
        <v>2.22</v>
      </c>
      <c r="K30" s="37">
        <v>2.19</v>
      </c>
      <c r="L30" s="37">
        <v>2.16</v>
      </c>
      <c r="M30" s="37">
        <v>2.21</v>
      </c>
      <c r="N30" s="37">
        <v>2.2</v>
      </c>
      <c r="O30" s="37">
        <v>2.21</v>
      </c>
      <c r="P30" s="37">
        <v>2.0</v>
      </c>
      <c r="Q30" s="37">
        <v>2.02</v>
      </c>
      <c r="R30" s="37">
        <f t="shared" si="1"/>
        <v>1.998571429</v>
      </c>
      <c r="S30" s="37">
        <f t="shared" si="2"/>
        <v>1.77</v>
      </c>
      <c r="T30" s="37">
        <f t="shared" si="3"/>
        <v>2.02</v>
      </c>
      <c r="U30" s="38">
        <f t="shared" si="4"/>
        <v>0.1412429379</v>
      </c>
      <c r="V30" s="35"/>
      <c r="W30" s="35"/>
      <c r="X30" s="35"/>
      <c r="Y30" s="35"/>
      <c r="Z30" s="35"/>
    </row>
    <row r="31">
      <c r="A31" s="39" t="s">
        <v>57</v>
      </c>
      <c r="B31" s="39" t="s">
        <v>54</v>
      </c>
      <c r="C31" s="39" t="s">
        <v>102</v>
      </c>
      <c r="D31" s="40">
        <v>2.98</v>
      </c>
      <c r="E31" s="40">
        <v>2.5</v>
      </c>
      <c r="F31" s="40">
        <v>3.19</v>
      </c>
      <c r="G31" s="40">
        <v>3.16</v>
      </c>
      <c r="H31" s="40">
        <v>3.89</v>
      </c>
      <c r="I31" s="40">
        <v>4.62</v>
      </c>
      <c r="J31" s="40">
        <v>4.25</v>
      </c>
      <c r="K31" s="40">
        <v>4.42</v>
      </c>
      <c r="L31" s="40">
        <v>4.58</v>
      </c>
      <c r="M31" s="40">
        <v>4.33</v>
      </c>
      <c r="N31" s="40">
        <v>4.52</v>
      </c>
      <c r="O31" s="40">
        <v>4.44</v>
      </c>
      <c r="P31" s="40">
        <v>4.94</v>
      </c>
      <c r="Q31" s="40">
        <v>4.84</v>
      </c>
      <c r="R31" s="40">
        <f t="shared" si="1"/>
        <v>4.047142857</v>
      </c>
      <c r="S31" s="40">
        <f t="shared" si="2"/>
        <v>2.98</v>
      </c>
      <c r="T31" s="40">
        <f t="shared" si="3"/>
        <v>4.84</v>
      </c>
      <c r="U31" s="41">
        <f t="shared" si="4"/>
        <v>0.6241610738</v>
      </c>
      <c r="V31" s="35"/>
      <c r="W31" s="35"/>
      <c r="X31" s="35"/>
      <c r="Y31" s="35"/>
      <c r="Z31" s="35"/>
    </row>
    <row r="32">
      <c r="A32" s="36" t="s">
        <v>58</v>
      </c>
      <c r="B32" s="36" t="s">
        <v>54</v>
      </c>
      <c r="C32" s="36" t="s">
        <v>102</v>
      </c>
      <c r="D32" s="37">
        <v>1.4</v>
      </c>
      <c r="E32" s="37">
        <v>1.63</v>
      </c>
      <c r="F32" s="37">
        <v>1.72</v>
      </c>
      <c r="G32" s="37">
        <v>1.71</v>
      </c>
      <c r="H32" s="37">
        <v>1.79</v>
      </c>
      <c r="I32" s="37">
        <v>2.17</v>
      </c>
      <c r="J32" s="37">
        <v>2.16</v>
      </c>
      <c r="K32" s="37">
        <v>2.19</v>
      </c>
      <c r="L32" s="37">
        <v>2.22</v>
      </c>
      <c r="M32" s="37">
        <v>2.28</v>
      </c>
      <c r="N32" s="37">
        <v>2.3</v>
      </c>
      <c r="O32" s="37">
        <v>2.21</v>
      </c>
      <c r="P32" s="37">
        <v>2.5</v>
      </c>
      <c r="Q32" s="37">
        <v>2.51</v>
      </c>
      <c r="R32" s="37">
        <f t="shared" si="1"/>
        <v>2.056428571</v>
      </c>
      <c r="S32" s="37">
        <f t="shared" si="2"/>
        <v>1.4</v>
      </c>
      <c r="T32" s="37">
        <f t="shared" si="3"/>
        <v>2.51</v>
      </c>
      <c r="U32" s="38">
        <f t="shared" si="4"/>
        <v>0.7928571429</v>
      </c>
      <c r="V32" s="35"/>
      <c r="W32" s="35"/>
      <c r="X32" s="35"/>
      <c r="Y32" s="35"/>
      <c r="Z32" s="35"/>
    </row>
    <row r="33">
      <c r="A33" s="39" t="s">
        <v>59</v>
      </c>
      <c r="B33" s="39" t="s">
        <v>49</v>
      </c>
      <c r="C33" s="39" t="s">
        <v>102</v>
      </c>
      <c r="D33" s="40">
        <v>6.01</v>
      </c>
      <c r="E33" s="40">
        <v>5.19</v>
      </c>
      <c r="F33" s="40">
        <v>6.73</v>
      </c>
      <c r="G33" s="40">
        <v>6.75</v>
      </c>
      <c r="H33" s="40">
        <v>7.49</v>
      </c>
      <c r="I33" s="40">
        <v>8.85</v>
      </c>
      <c r="J33" s="40">
        <v>7.45</v>
      </c>
      <c r="K33" s="40">
        <v>7.72</v>
      </c>
      <c r="L33" s="40">
        <v>8.31</v>
      </c>
      <c r="M33" s="40">
        <v>8.74</v>
      </c>
      <c r="N33" s="40">
        <v>8.23</v>
      </c>
      <c r="O33" s="40">
        <v>7.51</v>
      </c>
      <c r="P33" s="40">
        <v>7.79</v>
      </c>
      <c r="Q33" s="40">
        <v>7.15</v>
      </c>
      <c r="R33" s="40">
        <f t="shared" si="1"/>
        <v>7.422857143</v>
      </c>
      <c r="S33" s="40">
        <f t="shared" si="2"/>
        <v>6.01</v>
      </c>
      <c r="T33" s="40">
        <f t="shared" si="3"/>
        <v>7.15</v>
      </c>
      <c r="U33" s="41">
        <f t="shared" si="4"/>
        <v>0.1896838602</v>
      </c>
      <c r="V33" s="35"/>
      <c r="W33" s="35"/>
      <c r="X33" s="35"/>
      <c r="Y33" s="35"/>
      <c r="Z33" s="35"/>
    </row>
    <row r="34">
      <c r="A34" s="36" t="s">
        <v>60</v>
      </c>
      <c r="B34" s="36" t="s">
        <v>20</v>
      </c>
      <c r="C34" s="36" t="s">
        <v>102</v>
      </c>
      <c r="D34" s="37">
        <v>1.97</v>
      </c>
      <c r="E34" s="37">
        <v>2.34</v>
      </c>
      <c r="F34" s="37">
        <v>2.49</v>
      </c>
      <c r="G34" s="37">
        <v>2.47</v>
      </c>
      <c r="H34" s="37">
        <v>3.24</v>
      </c>
      <c r="I34" s="37">
        <v>3.97</v>
      </c>
      <c r="J34" s="37">
        <v>3.2</v>
      </c>
      <c r="K34" s="37">
        <v>3.54</v>
      </c>
      <c r="L34" s="37">
        <v>3.61</v>
      </c>
      <c r="M34" s="37">
        <v>3.48</v>
      </c>
      <c r="N34" s="37">
        <v>3.44</v>
      </c>
      <c r="O34" s="37">
        <v>3.31</v>
      </c>
      <c r="P34" s="37">
        <v>2.32</v>
      </c>
      <c r="Q34" s="37">
        <v>2.33</v>
      </c>
      <c r="R34" s="37">
        <f t="shared" si="1"/>
        <v>2.979285714</v>
      </c>
      <c r="S34" s="37">
        <f t="shared" si="2"/>
        <v>1.97</v>
      </c>
      <c r="T34" s="37">
        <f t="shared" si="3"/>
        <v>2.33</v>
      </c>
      <c r="U34" s="38">
        <f t="shared" si="4"/>
        <v>0.1827411168</v>
      </c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drawing r:id="rId1"/>
  <tableParts count="1">
    <tablePart r:id="rId3"/>
  </tableParts>
</worksheet>
</file>